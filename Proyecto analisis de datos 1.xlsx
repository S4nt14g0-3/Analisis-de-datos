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icky\Desktop\Santiago\Analisis de datos\"/>
    </mc:Choice>
  </mc:AlternateContent>
  <xr:revisionPtr revIDLastSave="0" documentId="8_{BB5F7960-0E7A-47E2-B730-030B005FBD7B}" xr6:coauthVersionLast="47" xr6:coauthVersionMax="47" xr10:uidLastSave="{00000000-0000-0000-0000-000000000000}"/>
  <bookViews>
    <workbookView xWindow="-120" yWindow="-120" windowWidth="29040" windowHeight="15720" activeTab="2" xr2:uid="{C2E28D37-5E1E-4288-9EC3-5EAB78A6098F}"/>
  </bookViews>
  <sheets>
    <sheet name="Productos" sheetId="1" r:id="rId1"/>
    <sheet name="Ventas" sheetId="2" r:id="rId2"/>
    <sheet name="Reporte" sheetId="4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6" i="2"/>
  <c r="I12" i="2"/>
  <c r="I20" i="2"/>
  <c r="I28" i="2"/>
  <c r="I36" i="2"/>
  <c r="I44" i="2"/>
  <c r="I52" i="2"/>
  <c r="I60" i="2"/>
  <c r="I68" i="2"/>
  <c r="I76" i="2"/>
  <c r="I84" i="2"/>
  <c r="I92" i="2"/>
  <c r="I100" i="2"/>
  <c r="I108" i="2"/>
  <c r="I116" i="2"/>
  <c r="I124" i="2"/>
  <c r="I132" i="2"/>
  <c r="I140" i="2"/>
  <c r="I148" i="2"/>
  <c r="I156" i="2"/>
  <c r="H7" i="2"/>
  <c r="I7" i="2" s="1"/>
  <c r="H8" i="2"/>
  <c r="I8" i="2" s="1"/>
  <c r="H9" i="2"/>
  <c r="I9" i="2" s="1"/>
  <c r="H10" i="2"/>
  <c r="I10" i="2" s="1"/>
  <c r="H11" i="2"/>
  <c r="I11" i="2" s="1"/>
  <c r="H12" i="2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H6" i="2"/>
  <c r="I6" i="2" s="1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6" i="2"/>
</calcChain>
</file>

<file path=xl/sharedStrings.xml><?xml version="1.0" encoding="utf-8"?>
<sst xmlns="http://schemas.openxmlformats.org/spreadsheetml/2006/main" count="430" uniqueCount="210">
  <si>
    <t>ID</t>
  </si>
  <si>
    <t>PRODUCTO</t>
  </si>
  <si>
    <t>CATEGORIA</t>
  </si>
  <si>
    <t>PRECIO</t>
  </si>
  <si>
    <t>MOUSE INALAMBRICO</t>
  </si>
  <si>
    <t>MOUSE GAMER</t>
  </si>
  <si>
    <t>TECLADO ALAMBRICO</t>
  </si>
  <si>
    <t>TECLADO MECANICO</t>
  </si>
  <si>
    <t>AUDIFONOS ALAMBRICOS</t>
  </si>
  <si>
    <t>DIADEMA GAMER</t>
  </si>
  <si>
    <t>AUDIFONOS BLUETOOTH</t>
  </si>
  <si>
    <t>MEMORIA USB  64GB</t>
  </si>
  <si>
    <t>MEMORIA USB 32GB</t>
  </si>
  <si>
    <t>DISCO SSD 480GB</t>
  </si>
  <si>
    <t>DISCO SSD 1TB</t>
  </si>
  <si>
    <t>ROUTER WIFI BASICO</t>
  </si>
  <si>
    <t xml:space="preserve">CABLE HDMI 2MTS </t>
  </si>
  <si>
    <t>CABLE USB-C</t>
  </si>
  <si>
    <t>POWER BANK 10000MAH</t>
  </si>
  <si>
    <t xml:space="preserve">EXTENSOR WIFI </t>
  </si>
  <si>
    <t>CARGADOR RAPIDO USB-C</t>
  </si>
  <si>
    <t>BASE ENFRIADORA LAPTOP</t>
  </si>
  <si>
    <t>WEBCAM HD</t>
  </si>
  <si>
    <t>MONITOR 22'</t>
  </si>
  <si>
    <t>IMPRESORA BASICA</t>
  </si>
  <si>
    <t>TINTA GENERICA</t>
  </si>
  <si>
    <t xml:space="preserve">HUB USB 4 PUERTOS </t>
  </si>
  <si>
    <t>PROTECTOR DE VOLTAJE</t>
  </si>
  <si>
    <t>SMARTWATCH BASICO</t>
  </si>
  <si>
    <t>BANDA FITNESS</t>
  </si>
  <si>
    <t>SOPORTE PARA CELULAR</t>
  </si>
  <si>
    <t>FUNDA PARA CELULAR</t>
  </si>
  <si>
    <t>VIDRIO TEMPLADO</t>
  </si>
  <si>
    <t>ACCESORIOS</t>
  </si>
  <si>
    <t>AUDIO</t>
  </si>
  <si>
    <t>PARLANTE BLUETOOTH</t>
  </si>
  <si>
    <t>ALMACENAMIENTO</t>
  </si>
  <si>
    <t>REDES</t>
  </si>
  <si>
    <t>CABLES</t>
  </si>
  <si>
    <t>ENERGIA</t>
  </si>
  <si>
    <t>CAMARA</t>
  </si>
  <si>
    <t>MONITORES</t>
  </si>
  <si>
    <t>HOGAR/OFICINA</t>
  </si>
  <si>
    <t>WEARABLES</t>
  </si>
  <si>
    <t>ACCESORIOS MOVIL</t>
  </si>
  <si>
    <t>ACCESORIOS PC</t>
  </si>
  <si>
    <t>FECHA</t>
  </si>
  <si>
    <t>TICKET</t>
  </si>
  <si>
    <t>CANTIDAD</t>
  </si>
  <si>
    <t>MEDIO_PAGO</t>
  </si>
  <si>
    <t>T-0001</t>
  </si>
  <si>
    <t>T-0006</t>
  </si>
  <si>
    <t>T-0007</t>
  </si>
  <si>
    <t>T-0008</t>
  </si>
  <si>
    <t>T-0009</t>
  </si>
  <si>
    <t>T-0010</t>
  </si>
  <si>
    <t>T-0011</t>
  </si>
  <si>
    <t>T-0012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</si>
  <si>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</si>
  <si>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</si>
  <si>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</si>
  <si>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</si>
  <si>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</si>
  <si>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</si>
  <si>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</si>
  <si>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</si>
  <si>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</si>
  <si>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</si>
  <si>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</si>
  <si>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</si>
  <si>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</si>
  <si>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</si>
  <si>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</si>
  <si>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</si>
  <si>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</si>
  <si>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</si>
  <si>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</si>
  <si>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</si>
  <si>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</si>
  <si>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</si>
  <si>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</si>
  <si>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</si>
  <si>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</si>
  <si>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</si>
  <si>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</si>
  <si>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</si>
  <si>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</si>
  <si>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</si>
  <si>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</si>
  <si>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</si>
  <si>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</si>
  <si>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</si>
  <si>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T-0047</t>
  </si>
  <si>
    <t>T-0048</t>
  </si>
  <si>
    <t>T-0049</t>
  </si>
  <si>
    <t>T-0050</t>
  </si>
  <si>
    <t>T-0051</t>
  </si>
  <si>
    <t>T-0052</t>
  </si>
  <si>
    <t>T-0053</t>
  </si>
  <si>
    <t>T-0054</t>
  </si>
  <si>
    <t>T-0055</t>
  </si>
  <si>
    <t>T-0056</t>
  </si>
  <si>
    <t>T-0057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</si>
  <si>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</si>
  <si>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</si>
  <si>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</si>
  <si>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</si>
  <si>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</si>
  <si>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</si>
  <si>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</si>
  <si>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</si>
  <si>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</si>
  <si>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</si>
  <si>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</si>
  <si>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</si>
  <si>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</si>
  <si>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</si>
  <si>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</si>
  <si>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</si>
  <si>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</si>
  <si>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</si>
  <si>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</si>
  <si>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</si>
  <si>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</si>
  <si>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</si>
  <si>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</si>
  <si>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</si>
  <si>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</si>
  <si>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</si>
  <si>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</si>
  <si>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</si>
  <si>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</si>
  <si>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</si>
  <si>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</si>
  <si>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</si>
  <si>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</si>
  <si>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</si>
  <si>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</si>
  <si>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</si>
  <si>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</si>
  <si>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</si>
  <si>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</si>
  <si>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</si>
  <si>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</si>
  <si>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</si>
  <si>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</si>
  <si>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</si>
  <si>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</si>
  <si>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</si>
  <si>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</si>
  <si>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</si>
  <si>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</si>
  <si>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</si>
  <si>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</si>
  <si>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</si>
  <si>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</si>
  <si>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</si>
  <si>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</si>
  <si>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</si>
  <si>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</si>
  <si>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</si>
  <si>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</si>
  <si>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</si>
  <si>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</si>
  <si>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</si>
  <si>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</si>
  <si>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</si>
  <si>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</si>
  <si>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</si>
  <si>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</si>
  <si>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</si>
  <si>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</si>
  <si>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</si>
  <si>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</si>
  <si>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</si>
  <si>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</si>
  <si>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</si>
  <si>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</si>
  <si>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</si>
  <si>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</si>
  <si>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</si>
  <si>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</si>
  <si>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</si>
  <si>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</si>
  <si>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</si>
  <si>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</si>
  <si>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</si>
  <si>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</si>
  <si>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</si>
  <si>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</si>
  <si>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</si>
  <si>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</si>
  <si>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</si>
  <si>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</si>
  <si>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</si>
  <si>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</si>
  <si>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</si>
  <si>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</si>
  <si>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</si>
  <si>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</si>
  <si>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</si>
  <si>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EFECTIVO</t>
  </si>
  <si>
    <t>NEQUI</t>
  </si>
  <si>
    <t>DAVIPLATA</t>
  </si>
  <si>
    <t>TARJETA</t>
  </si>
  <si>
    <t>PRECIO UNITARIO</t>
  </si>
  <si>
    <t>PRECIO TOTAL</t>
  </si>
  <si>
    <t>Etiquetas de fila</t>
  </si>
  <si>
    <t>Total general</t>
  </si>
  <si>
    <t>Suma de PRECIO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</si>
</sst>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8" formatCode="_-&quot;$&quot;\ * #,##0_-;\-&quot;$&quot;\ * #,##0_-;_-&quot;$&quot;\ * &quot;-&quot;??_-;_-@_-"/>
    <numFmt numFmtId="173" formatCode="_-[$$-240A]\ * #,##0_-;\-[$$-240A]\ * #,##0_-;_-[$$-240A]\ * &quot;-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1" xfId="0" applyFont="1" applyFill="1" applyBorder="1"/>
    <xf numFmtId="14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2" borderId="4" xfId="0" applyFont="1" applyFill="1" applyBorder="1" applyAlignment="1">
      <alignment horizontal="center"/>
    </xf>
    <xf numFmtId="0" fontId="0" fillId="2" borderId="4" xfId="0" applyFont="1" applyFill="1" applyBorder="1"/>
    <xf numFmtId="168" fontId="0" fillId="2" borderId="5" xfId="1" applyNumberFormat="1" applyFont="1" applyFill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168" fontId="0" fillId="0" borderId="3" xfId="1" applyNumberFormat="1" applyFont="1" applyBorder="1"/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/>
    <xf numFmtId="168" fontId="0" fillId="2" borderId="3" xfId="1" applyNumberFormat="1" applyFont="1" applyFill="1" applyBorder="1"/>
    <xf numFmtId="0" fontId="0" fillId="0" borderId="6" xfId="0" applyFont="1" applyBorder="1" applyAlignment="1">
      <alignment horizontal="center"/>
    </xf>
    <xf numFmtId="0" fontId="0" fillId="0" borderId="6" xfId="0" applyFont="1" applyBorder="1"/>
    <xf numFmtId="168" fontId="0" fillId="0" borderId="1" xfId="1" applyNumberFormat="1" applyFont="1" applyBorder="1"/>
    <xf numFmtId="14" fontId="0" fillId="2" borderId="4" xfId="0" applyNumberFormat="1" applyFont="1" applyFill="1" applyBorder="1"/>
    <xf numFmtId="168" fontId="0" fillId="2" borderId="4" xfId="1" applyNumberFormat="1" applyFont="1" applyFill="1" applyBorder="1"/>
    <xf numFmtId="0" fontId="0" fillId="2" borderId="5" xfId="0" applyFont="1" applyFill="1" applyBorder="1"/>
    <xf numFmtId="14" fontId="0" fillId="0" borderId="2" xfId="0" applyNumberFormat="1" applyFont="1" applyBorder="1"/>
    <xf numFmtId="168" fontId="0" fillId="0" borderId="2" xfId="1" applyNumberFormat="1" applyFont="1" applyBorder="1"/>
    <xf numFmtId="0" fontId="0" fillId="0" borderId="3" xfId="0" applyFont="1" applyBorder="1"/>
    <xf numFmtId="14" fontId="0" fillId="2" borderId="2" xfId="0" applyNumberFormat="1" applyFont="1" applyFill="1" applyBorder="1"/>
    <xf numFmtId="168" fontId="0" fillId="2" borderId="2" xfId="1" applyNumberFormat="1" applyFont="1" applyFill="1" applyBorder="1"/>
    <xf numFmtId="0" fontId="0" fillId="2" borderId="3" xfId="0" applyFont="1" applyFill="1" applyBorder="1"/>
    <xf numFmtId="14" fontId="0" fillId="2" borderId="6" xfId="0" applyNumberFormat="1" applyFont="1" applyFill="1" applyBorder="1"/>
    <xf numFmtId="0" fontId="0" fillId="2" borderId="6" xfId="0" applyFont="1" applyFill="1" applyBorder="1"/>
    <xf numFmtId="168" fontId="0" fillId="2" borderId="6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1.xlsx]Reporte!TablaDinámica3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503654350898441"/>
          <c:y val="8.9026385798484195E-2"/>
          <c:w val="0.61716010498687668"/>
          <c:h val="0.59760278866717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Reporte!$C$4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Reporte!$B$5:$B$17</c:f>
              <c:strCache>
                <c:ptCount val="12"/>
                <c:pt idx="0">
                  <c:v>ACCESORIOS</c:v>
                </c:pt>
                <c:pt idx="1">
                  <c:v>ACCESORIOS MOVIL</c:v>
                </c:pt>
                <c:pt idx="2">
                  <c:v>ACCESORIOS PC</c:v>
                </c:pt>
                <c:pt idx="3">
                  <c:v>ALMACENAMIENTO</c:v>
                </c:pt>
                <c:pt idx="4">
                  <c:v>AUDIO</c:v>
                </c:pt>
                <c:pt idx="5">
                  <c:v>CABLES</c:v>
                </c:pt>
                <c:pt idx="6">
                  <c:v>CAMARA</c:v>
                </c:pt>
                <c:pt idx="7">
                  <c:v>ENERGIA</c:v>
                </c:pt>
                <c:pt idx="8">
                  <c:v>HOGAR/OFICINA</c:v>
                </c:pt>
                <c:pt idx="9">
                  <c:v>MONITORES</c:v>
                </c:pt>
                <c:pt idx="10">
                  <c:v>REDES</c:v>
                </c:pt>
                <c:pt idx="11">
                  <c:v>WEARABLES</c:v>
                </c:pt>
              </c:strCache>
            </c:strRef>
          </c:cat>
          <c:val>
            <c:numRef>
              <c:f>Reporte!$C$5:$C$17</c:f>
              <c:numCache>
                <c:formatCode>_-[$$-240A]\ * #,##0_-;\-[$$-240A]\ * #,##0_-;_-[$$-240A]\ * "-"_-;_-@_-</c:formatCode>
                <c:ptCount val="12"/>
                <c:pt idx="0">
                  <c:v>550000</c:v>
                </c:pt>
                <c:pt idx="1">
                  <c:v>1450000</c:v>
                </c:pt>
                <c:pt idx="2">
                  <c:v>5705000</c:v>
                </c:pt>
                <c:pt idx="3">
                  <c:v>8695000</c:v>
                </c:pt>
                <c:pt idx="4">
                  <c:v>7620000</c:v>
                </c:pt>
                <c:pt idx="5">
                  <c:v>630000</c:v>
                </c:pt>
                <c:pt idx="6">
                  <c:v>240000</c:v>
                </c:pt>
                <c:pt idx="7">
                  <c:v>4330000</c:v>
                </c:pt>
                <c:pt idx="8">
                  <c:v>14520000</c:v>
                </c:pt>
                <c:pt idx="9">
                  <c:v>5720000</c:v>
                </c:pt>
                <c:pt idx="10">
                  <c:v>2811000</c:v>
                </c:pt>
                <c:pt idx="11">
                  <c:v>5820000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1B-42E5-9EFB-894C0C408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34959"/>
        <c:axId val="19238319"/>
      </c:barChart>
      <c:catAx>
        <c:axId val="1923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9238319"/>
        <c:crosses val="autoZero"/>
        <c:auto val="1"/>
        <c:lblAlgn val="ctr"/>
        <c:lblOffset val="100"/>
        <c:noMultiLvlLbl val="0"/>
      </c:catAx>
      <c:valAx>
        <c:axId val="192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923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1.xlsx]Reporte!TablaDinámica4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42349216657196"/>
          <c:y val="0.16289157506910415"/>
          <c:w val="0.66621316665313746"/>
          <c:h val="0.770890694577761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Reporte!$C$28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Reporte!$B$29:$B$59</c:f>
              <c:strCache>
                <c:ptCount val="30"/>
                <c:pt idx="0">
                  <c:v>AUDIFONOS ALAMBRICOS</c:v>
                </c:pt>
                <c:pt idx="1">
                  <c:v>AUDIFONOS BLUETOOTH</c:v>
                </c:pt>
                <c:pt idx="2">
                  <c:v>BANDA FITNESS</c:v>
                </c:pt>
                <c:pt idx="3">
                  <c:v>BASE ENFRIADORA LAPTOP</c:v>
                </c:pt>
                <c:pt idx="4">
                  <c:v>CABLE HDMI 2MTS </c:v>
                </c:pt>
                <c:pt idx="5">
                  <c:v>CABLE USB-C</c:v>
                </c:pt>
                <c:pt idx="6">
                  <c:v>CARGADOR RAPIDO USB-C</c:v>
                </c:pt>
                <c:pt idx="7">
                  <c:v>DIADEMA GAMER</c:v>
                </c:pt>
                <c:pt idx="8">
                  <c:v>DISCO SSD 1TB</c:v>
                </c:pt>
                <c:pt idx="9">
                  <c:v>DISCO SSD 480GB</c:v>
                </c:pt>
                <c:pt idx="10">
                  <c:v>EXTENSOR WIFI </c:v>
                </c:pt>
                <c:pt idx="11">
                  <c:v>FUNDA PARA CELULAR</c:v>
                </c:pt>
                <c:pt idx="12">
                  <c:v>HUB USB 4 PUERTOS </c:v>
                </c:pt>
                <c:pt idx="13">
                  <c:v>IMPRESORA BASICA</c:v>
                </c:pt>
                <c:pt idx="14">
                  <c:v>MEMORIA USB  64GB</c:v>
                </c:pt>
                <c:pt idx="15">
                  <c:v>MEMORIA USB 32GB</c:v>
                </c:pt>
                <c:pt idx="16">
                  <c:v>MONITOR 22'</c:v>
                </c:pt>
                <c:pt idx="17">
                  <c:v>MOUSE GAMER</c:v>
                </c:pt>
                <c:pt idx="18">
                  <c:v>MOUSE INALAMBRICO</c:v>
                </c:pt>
                <c:pt idx="19">
                  <c:v>PARLANTE BLUETOOTH</c:v>
                </c:pt>
                <c:pt idx="20">
                  <c:v>POWER BANK 10000MAH</c:v>
                </c:pt>
                <c:pt idx="21">
                  <c:v>PROTECTOR DE VOLTAJE</c:v>
                </c:pt>
                <c:pt idx="22">
                  <c:v>ROUTER WIFI BASICO</c:v>
                </c:pt>
                <c:pt idx="23">
                  <c:v>SMARTWATCH BASICO</c:v>
                </c:pt>
                <c:pt idx="24">
                  <c:v>SOPORTE PARA CELULAR</c:v>
                </c:pt>
                <c:pt idx="25">
                  <c:v>TECLADO ALAMBRICO</c:v>
                </c:pt>
                <c:pt idx="26">
                  <c:v>TECLADO MECANICO</c:v>
                </c:pt>
                <c:pt idx="27">
                  <c:v>TINTA GENERICA</c:v>
                </c:pt>
                <c:pt idx="28">
                  <c:v>VIDRIO TEMPLADO</c:v>
                </c:pt>
                <c:pt idx="29">
                  <c:v>WEBCAM HD</c:v>
                </c:pt>
              </c:strCache>
            </c:strRef>
          </c:cat>
          <c:val>
            <c:numRef>
              <c:f>Reporte!$C$29:$C$59</c:f>
              <c:numCache>
                <c:formatCode>_-[$$-240A]\ * #,##0_-;\-[$$-240A]\ * #,##0_-;_-[$$-240A]\ * "-"_-;_-@_-</c:formatCode>
                <c:ptCount val="30"/>
                <c:pt idx="0">
                  <c:v>840000</c:v>
                </c:pt>
                <c:pt idx="1">
                  <c:v>1200000</c:v>
                </c:pt>
                <c:pt idx="2">
                  <c:v>2040000</c:v>
                </c:pt>
                <c:pt idx="3">
                  <c:v>1275000</c:v>
                </c:pt>
                <c:pt idx="4">
                  <c:v>300000</c:v>
                </c:pt>
                <c:pt idx="5">
                  <c:v>330000</c:v>
                </c:pt>
                <c:pt idx="6">
                  <c:v>1170000</c:v>
                </c:pt>
                <c:pt idx="7">
                  <c:v>2700000</c:v>
                </c:pt>
                <c:pt idx="8">
                  <c:v>4370000</c:v>
                </c:pt>
                <c:pt idx="9">
                  <c:v>3150000</c:v>
                </c:pt>
                <c:pt idx="10">
                  <c:v>1950000</c:v>
                </c:pt>
                <c:pt idx="11">
                  <c:v>570000</c:v>
                </c:pt>
                <c:pt idx="12">
                  <c:v>550000</c:v>
                </c:pt>
                <c:pt idx="13">
                  <c:v>13440000</c:v>
                </c:pt>
                <c:pt idx="14">
                  <c:v>825000</c:v>
                </c:pt>
                <c:pt idx="15">
                  <c:v>350000</c:v>
                </c:pt>
                <c:pt idx="16">
                  <c:v>5720000</c:v>
                </c:pt>
                <c:pt idx="17">
                  <c:v>2430000</c:v>
                </c:pt>
                <c:pt idx="18">
                  <c:v>180000</c:v>
                </c:pt>
                <c:pt idx="19">
                  <c:v>2880000</c:v>
                </c:pt>
                <c:pt idx="20">
                  <c:v>1080000</c:v>
                </c:pt>
                <c:pt idx="21">
                  <c:v>2080000</c:v>
                </c:pt>
                <c:pt idx="22">
                  <c:v>861000</c:v>
                </c:pt>
                <c:pt idx="23">
                  <c:v>3780000</c:v>
                </c:pt>
                <c:pt idx="24">
                  <c:v>500000</c:v>
                </c:pt>
                <c:pt idx="25">
                  <c:v>720000</c:v>
                </c:pt>
                <c:pt idx="26">
                  <c:v>1100000</c:v>
                </c:pt>
                <c:pt idx="27">
                  <c:v>1080000</c:v>
                </c:pt>
                <c:pt idx="28">
                  <c:v>380000</c:v>
                </c:pt>
                <c:pt idx="29">
                  <c:v>240000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0-494F-9A7D-CF00D4154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693263"/>
        <c:axId val="187693743"/>
      </c:barChart>
      <c:catAx>
        <c:axId val="18769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87693743"/>
        <c:crosses val="autoZero"/>
        <c:auto val="1"/>
        <c:lblAlgn val="ctr"/>
        <c:lblOffset val="100"/>
        <c:noMultiLvlLbl val="0"/>
      </c:catAx>
      <c:valAx>
        <c:axId val="18769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8769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13500000" algn="b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analisis de datos 1.xlsx]Reporte!TablaDinámica5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Reporte!$R$25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Reporte!$Q$26:$Q$30</c:f>
              <c:strCache>
                <c:ptCount val="4"/>
                <c:pt idx="0">
                  <c:v>DAVIPLATA</c:v>
                </c:pt>
                <c:pt idx="1">
                  <c:v>EFECTIVO</c:v>
                </c:pt>
                <c:pt idx="2">
                  <c:v>NEQUI</c:v>
                </c:pt>
                <c:pt idx="3">
                  <c:v>TARJETA</c:v>
                </c:pt>
              </c:strCache>
            </c:strRef>
          </c:cat>
          <c:val>
            <c:numRef>
              <c:f>Reporte!$R$26:$R$30</c:f>
              <c:numCache>
                <c:formatCode>General</c:formatCode>
                <c:ptCount val="4"/>
                <c:pt idx="0">
                  <c:v>16984000</c:v>
                </c:pt>
                <c:pt idx="1">
                  <c:v>14105000</c:v>
                </c:pt>
                <c:pt idx="2">
                  <c:v>12574000</c:v>
                </c:pt>
                <c:pt idx="3">
                  <c:v>14428000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8-4CD8-978D-6B4DF21E4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147636</xdr:rowOff>
    </xdr:from>
    <xdr:to>
      <xdr:col>13</xdr:col>
      <xdr:colOff>457200</xdr:colOff>
      <xdr:row>24</xdr:row>
      <xdr:rowOff>19049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2E984F1-EED1-F16F-0D9B-C054ED332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739487</xdr:colOff>
      <xdr:row>30</xdr:row>
      <xdr:rowOff>83560</xdr:rowOff>
    </xdr:from>
    <xdr:to>
      <xdr:col>13</xdr:col>
      <xdr:colOff>510887</xdr:colOff>
      <xdr:row>53</xdr:row>
      <xdr:rowOff>135948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7285CC-1202-6ABD-82A5-7C18B27AC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341779</xdr:colOff>
      <xdr:row>31</xdr:row>
      <xdr:rowOff>45943</xdr:rowOff>
    </xdr:from>
    <xdr:to>
      <xdr:col>18</xdr:col>
      <xdr:colOff>319367</xdr:colOff>
      <xdr:row>45</xdr:row>
      <xdr:rowOff>122143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99A4136-20A5-2154-0669-1DC666B77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kylas Cardona" refreshedDate="46269.775789814812" createdVersion="8" refreshedVersion="8" minRefreshableVersion="3" recordCount="151" xr:uid="{E447FE34-A5A1-4F19-85EC-4F0A4923461B}">
  <cacheSource type="worksheet">
    <worksheetSource ref="B5:J156" sheet="Ventas"/>
  </cacheSource>
  <cacheFields count="9">
    <cacheField name="FECHA" numFmtId="14">
      <sharedItems containsSemiMixedTypes="0" containsNonDate="0" containsDate="1" containsString="0" minDate="2026-09-01T00:00:00" maxDate="2027-02-13T00:00:00"/>
    </cacheField>
    <cacheField name="TICKET" numFmtId="0">
      <sharedItems/>
    </cacheField>
    <cacheField name="ID" numFmtId="0">
      <sharedItems containsSemiMixedTypes="0" containsString="0" containsNumber="1" containsInteger="1" minValue="1" maxValue="30"/>
    </cacheField>
    <cacheField name="PRODUCTO" numFmtId="0">
      <sharedItems count="30">
        <s v="PARLANTE BLUETOOTH"/>
        <s v="MONITOR 22'"/>
        <s v="CABLE USB-C"/>
        <s v="VIDRIO TEMPLADO"/>
        <s v="DIADEMA GAMER"/>
        <s v="SMARTWATCH BASICO"/>
        <s v="PROTECTOR DE VOLTAJE"/>
        <s v="TINTA GENERICA"/>
        <s v="DISCO SSD 1TB"/>
        <s v="CARGADOR RAPIDO USB-C"/>
        <s v="IMPRESORA BASICA"/>
        <s v="ROUTER WIFI BASICO"/>
        <s v="FUNDA PARA CELULAR"/>
        <s v="AUDIFONOS ALAMBRICOS"/>
        <s v="BANDA FITNESS"/>
        <s v="MOUSE INALAMBRICO"/>
        <s v="MEMORIA USB 32GB"/>
        <s v="HUB USB 4 PUERTOS "/>
        <s v="CABLE HDMI 2MTS "/>
        <s v="DISCO SSD 480GB"/>
        <s v="WEBCAM HD"/>
        <s v="MEMORIA USB  64GB"/>
        <s v="EXTENSOR WIFI "/>
        <s v="MOUSE GAMER"/>
        <s v="TECLADO MECANICO"/>
        <s v="TECLADO ALAMBRICO"/>
        <s v="SOPORTE PARA CELULAR"/>
        <s v="POWER BANK 10000MAH"/>
        <s v="AUDIFONOS BLUETOOTH"/>
        <s v="BASE ENFRIADORA LAPTOP"/>
      </sharedItems>
    </cacheField>
    <cacheField name="CATEGORIA" numFmtId="0">
      <sharedItems count="12">
        <s v="AUDIO"/>
        <s v="MONITORES"/>
        <s v="CABLES"/>
        <s v="ACCESORIOS MOVIL"/>
        <s v="WEARABLES"/>
        <s v="ENERGIA"/>
        <s v="HOGAR/OFICINA"/>
        <s v="ALMACENAMIENTO"/>
        <s v="REDES"/>
        <s v="ACCESORIOS PC"/>
        <s v="ACCESORIOS"/>
        <s v="CAMARA"/>
      </sharedItems>
    </cacheField>
    <cacheField name="CANTIDAD" numFmtId="0">
      <sharedItems containsSemiMixedTypes="0" containsString="0" containsNumber="1" containsInteger="1" minValue="1" maxValue="5"/>
    </cacheField>
    <cacheField name="PRECIO UNITARIO" numFmtId="168">
      <sharedItems containsSemiMixedTypes="0" containsString="0" containsNumber="1" containsInteger="1" minValue="20000" maxValue="520000"/>
    </cacheField>
    <cacheField name="PRECIO TOTAL" numFmtId="168">
      <sharedItems containsSemiMixedTypes="0" containsString="0" containsNumber="1" containsInteger="1" minValue="20000" maxValue="2600000"/>
    </cacheField>
    <cacheField name="MEDIO_PAGO" numFmtId="0">
      <sharedItems count="4">
        <s v="EFECTIVO"/>
        <s v="DAVIPLATA"/>
        <s v="NEQUI"/>
        <s v="TARJET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d v="2026-09-01T00:00:00"/>
    <s v="T-0001"/>
    <n v="8"/>
    <x v="0"/>
    <x v="0"/>
    <n v="3"/>
    <n v="160000"/>
    <n v="480000"/>
    <x v="0"/>
  </r>
  <r>
    <d v="2026-09-03T00:00:00"/>
    <s v="T-0006"/>
    <n v="21"/>
    <x v="1"/>
    <x v="1"/>
    <n v="5"/>
    <n v="520000"/>
    <n v="2600000"/>
    <x v="1"/>
  </r>
  <r>
    <d v="2026-09-05T00:00:00"/>
    <s v="T-0007"/>
    <n v="15"/>
    <x v="2"/>
    <x v="2"/>
    <n v="3"/>
    <n v="30000"/>
    <n v="90000"/>
    <x v="2"/>
  </r>
  <r>
    <d v="2026-09-05T00:00:00"/>
    <s v="T-0008"/>
    <n v="30"/>
    <x v="3"/>
    <x v="3"/>
    <n v="1"/>
    <n v="20000"/>
    <n v="20000"/>
    <x v="0"/>
  </r>
  <r>
    <d v="2026-09-07T00:00:00"/>
    <s v="T-0009"/>
    <n v="8"/>
    <x v="0"/>
    <x v="0"/>
    <n v="1"/>
    <n v="160000"/>
    <n v="160000"/>
    <x v="2"/>
  </r>
  <r>
    <d v="2026-09-07T00:00:00"/>
    <s v="T-0010"/>
    <n v="7"/>
    <x v="4"/>
    <x v="0"/>
    <n v="2"/>
    <n v="180000"/>
    <n v="360000"/>
    <x v="0"/>
  </r>
  <r>
    <d v="2026-09-09T00:00:00"/>
    <s v="T-0011"/>
    <n v="26"/>
    <x v="5"/>
    <x v="4"/>
    <n v="4"/>
    <n v="180000"/>
    <n v="720000"/>
    <x v="0"/>
  </r>
  <r>
    <d v="2026-09-09T00:00:00"/>
    <s v="T-0012"/>
    <n v="25"/>
    <x v="6"/>
    <x v="5"/>
    <n v="5"/>
    <n v="80000"/>
    <n v="400000"/>
    <x v="3"/>
  </r>
  <r>
    <d v="2026-09-10T00:00:00"/>
    <s v="T-0013"/>
    <n v="23"/>
    <x v="7"/>
    <x v="6"/>
    <n v="5"/>
    <n v="90000"/>
    <n v="450000"/>
    <x v="1"/>
  </r>
  <r>
    <d v="2026-09-12T00:00:00"/>
    <s v="T-0014"/>
    <n v="12"/>
    <x v="8"/>
    <x v="7"/>
    <n v="5"/>
    <n v="230000"/>
    <n v="1150000"/>
    <x v="2"/>
  </r>
  <r>
    <d v="2026-09-13T00:00:00"/>
    <s v="T-0015"/>
    <n v="8"/>
    <x v="0"/>
    <x v="0"/>
    <n v="2"/>
    <n v="160000"/>
    <n v="320000"/>
    <x v="0"/>
  </r>
  <r>
    <d v="2026-09-13T00:00:00"/>
    <s v="T-0016"/>
    <n v="26"/>
    <x v="5"/>
    <x v="4"/>
    <n v="5"/>
    <n v="180000"/>
    <n v="900000"/>
    <x v="3"/>
  </r>
  <r>
    <d v="2026-09-14T00:00:00"/>
    <s v="T-0017"/>
    <n v="18"/>
    <x v="9"/>
    <x v="5"/>
    <n v="4"/>
    <n v="65000"/>
    <n v="260000"/>
    <x v="1"/>
  </r>
  <r>
    <d v="2026-09-16T00:00:00"/>
    <s v="T-0018"/>
    <n v="22"/>
    <x v="10"/>
    <x v="6"/>
    <n v="3"/>
    <n v="480000"/>
    <n v="1440000"/>
    <x v="0"/>
  </r>
  <r>
    <d v="2026-09-18T00:00:00"/>
    <s v="T-0019"/>
    <n v="13"/>
    <x v="11"/>
    <x v="8"/>
    <n v="2"/>
    <n v="123000"/>
    <n v="246000"/>
    <x v="1"/>
  </r>
  <r>
    <d v="2026-09-19T00:00:00"/>
    <s v="T-0020"/>
    <n v="29"/>
    <x v="12"/>
    <x v="3"/>
    <n v="5"/>
    <n v="30000"/>
    <n v="150000"/>
    <x v="0"/>
  </r>
  <r>
    <d v="2026-09-19T00:00:00"/>
    <s v="T-0021"/>
    <n v="5"/>
    <x v="13"/>
    <x v="0"/>
    <n v="4"/>
    <n v="35000"/>
    <n v="140000"/>
    <x v="2"/>
  </r>
  <r>
    <d v="2026-09-21T00:00:00"/>
    <s v="T-0022"/>
    <n v="5"/>
    <x v="13"/>
    <x v="0"/>
    <n v="1"/>
    <n v="35000"/>
    <n v="35000"/>
    <x v="1"/>
  </r>
  <r>
    <d v="2026-09-23T00:00:00"/>
    <s v="T-0023"/>
    <n v="27"/>
    <x v="14"/>
    <x v="4"/>
    <n v="3"/>
    <n v="120000"/>
    <n v="360000"/>
    <x v="2"/>
  </r>
  <r>
    <d v="2026-09-23T00:00:00"/>
    <s v="T-0024"/>
    <n v="1"/>
    <x v="15"/>
    <x v="9"/>
    <n v="3"/>
    <n v="45000"/>
    <n v="135000"/>
    <x v="3"/>
  </r>
  <r>
    <d v="2026-09-25T00:00:00"/>
    <s v="T-0025"/>
    <n v="15"/>
    <x v="2"/>
    <x v="2"/>
    <n v="1"/>
    <n v="30000"/>
    <n v="30000"/>
    <x v="0"/>
  </r>
  <r>
    <d v="2026-09-25T00:00:00"/>
    <s v="T-0026"/>
    <n v="9"/>
    <x v="16"/>
    <x v="7"/>
    <n v="1"/>
    <n v="35000"/>
    <n v="35000"/>
    <x v="1"/>
  </r>
  <r>
    <d v="2026-09-26T00:00:00"/>
    <s v="T-0027"/>
    <n v="5"/>
    <x v="13"/>
    <x v="0"/>
    <n v="4"/>
    <n v="35000"/>
    <n v="140000"/>
    <x v="1"/>
  </r>
  <r>
    <d v="2026-09-27T00:00:00"/>
    <s v="T-0028"/>
    <n v="8"/>
    <x v="0"/>
    <x v="0"/>
    <n v="4"/>
    <n v="160000"/>
    <n v="640000"/>
    <x v="2"/>
  </r>
  <r>
    <d v="2026-09-29T00:00:00"/>
    <s v="T-0029"/>
    <n v="24"/>
    <x v="17"/>
    <x v="10"/>
    <n v="5"/>
    <n v="55000"/>
    <n v="275000"/>
    <x v="1"/>
  </r>
  <r>
    <d v="2026-10-01T00:00:00"/>
    <s v="T-0030"/>
    <n v="7"/>
    <x v="4"/>
    <x v="0"/>
    <n v="2"/>
    <n v="180000"/>
    <n v="360000"/>
    <x v="3"/>
  </r>
  <r>
    <d v="2026-10-02T00:00:00"/>
    <s v="T-0031"/>
    <n v="14"/>
    <x v="18"/>
    <x v="2"/>
    <n v="2"/>
    <n v="25000"/>
    <n v="50000"/>
    <x v="0"/>
  </r>
  <r>
    <d v="2026-10-02T00:00:00"/>
    <s v="T-0032"/>
    <n v="11"/>
    <x v="19"/>
    <x v="7"/>
    <n v="5"/>
    <n v="210000"/>
    <n v="1050000"/>
    <x v="1"/>
  </r>
  <r>
    <d v="2026-10-02T00:00:00"/>
    <s v="T-0033"/>
    <n v="5"/>
    <x v="13"/>
    <x v="0"/>
    <n v="2"/>
    <n v="35000"/>
    <n v="70000"/>
    <x v="0"/>
  </r>
  <r>
    <d v="2026-10-04T00:00:00"/>
    <s v="T-0034"/>
    <n v="5"/>
    <x v="13"/>
    <x v="0"/>
    <n v="1"/>
    <n v="35000"/>
    <n v="35000"/>
    <x v="3"/>
  </r>
  <r>
    <d v="2026-10-06T00:00:00"/>
    <s v="T-0035"/>
    <n v="20"/>
    <x v="20"/>
    <x v="11"/>
    <n v="1"/>
    <n v="120000"/>
    <n v="120000"/>
    <x v="0"/>
  </r>
  <r>
    <d v="2026-10-06T00:00:00"/>
    <s v="T-0036"/>
    <n v="30"/>
    <x v="3"/>
    <x v="3"/>
    <n v="2"/>
    <n v="20000"/>
    <n v="40000"/>
    <x v="0"/>
  </r>
  <r>
    <d v="2026-10-06T00:00:00"/>
    <s v="T-0037"/>
    <n v="10"/>
    <x v="21"/>
    <x v="7"/>
    <n v="3"/>
    <n v="55000"/>
    <n v="165000"/>
    <x v="0"/>
  </r>
  <r>
    <d v="2026-10-07T00:00:00"/>
    <s v="T-0038"/>
    <n v="11"/>
    <x v="19"/>
    <x v="7"/>
    <n v="3"/>
    <n v="210000"/>
    <n v="630000"/>
    <x v="1"/>
  </r>
  <r>
    <d v="2026-10-07T00:00:00"/>
    <s v="T-0039"/>
    <n v="26"/>
    <x v="5"/>
    <x v="4"/>
    <n v="5"/>
    <n v="180000"/>
    <n v="900000"/>
    <x v="3"/>
  </r>
  <r>
    <d v="2026-10-09T00:00:00"/>
    <s v="T-0040"/>
    <n v="9"/>
    <x v="16"/>
    <x v="7"/>
    <n v="2"/>
    <n v="35000"/>
    <n v="70000"/>
    <x v="2"/>
  </r>
  <r>
    <d v="2026-10-09T00:00:00"/>
    <s v="T-0041"/>
    <n v="10"/>
    <x v="21"/>
    <x v="7"/>
    <n v="1"/>
    <n v="55000"/>
    <n v="55000"/>
    <x v="0"/>
  </r>
  <r>
    <d v="2026-10-10T00:00:00"/>
    <s v="T-0042"/>
    <n v="29"/>
    <x v="12"/>
    <x v="3"/>
    <n v="5"/>
    <n v="30000"/>
    <n v="150000"/>
    <x v="2"/>
  </r>
  <r>
    <d v="2026-10-10T00:00:00"/>
    <s v="T-0043"/>
    <n v="25"/>
    <x v="6"/>
    <x v="5"/>
    <n v="3"/>
    <n v="80000"/>
    <n v="240000"/>
    <x v="3"/>
  </r>
  <r>
    <d v="2026-10-11T00:00:00"/>
    <s v="T-0044"/>
    <n v="27"/>
    <x v="14"/>
    <x v="4"/>
    <n v="1"/>
    <n v="120000"/>
    <n v="120000"/>
    <x v="1"/>
  </r>
  <r>
    <d v="2026-10-11T00:00:00"/>
    <s v="T-0045"/>
    <n v="30"/>
    <x v="3"/>
    <x v="3"/>
    <n v="2"/>
    <n v="20000"/>
    <n v="40000"/>
    <x v="2"/>
  </r>
  <r>
    <d v="2026-10-11T00:00:00"/>
    <s v="T-0046"/>
    <n v="14"/>
    <x v="18"/>
    <x v="2"/>
    <n v="4"/>
    <n v="25000"/>
    <n v="100000"/>
    <x v="3"/>
  </r>
  <r>
    <d v="2026-10-12T00:00:00"/>
    <s v="T-0047"/>
    <n v="26"/>
    <x v="5"/>
    <x v="4"/>
    <n v="4"/>
    <n v="180000"/>
    <n v="720000"/>
    <x v="1"/>
  </r>
  <r>
    <d v="2026-10-12T00:00:00"/>
    <s v="T-0048"/>
    <n v="20"/>
    <x v="20"/>
    <x v="11"/>
    <n v="1"/>
    <n v="120000"/>
    <n v="120000"/>
    <x v="2"/>
  </r>
  <r>
    <d v="2026-10-14T00:00:00"/>
    <s v="T-0049"/>
    <n v="17"/>
    <x v="22"/>
    <x v="8"/>
    <n v="1"/>
    <n v="150000"/>
    <n v="150000"/>
    <x v="2"/>
  </r>
  <r>
    <d v="2026-10-15T00:00:00"/>
    <s v="T-0050"/>
    <n v="2"/>
    <x v="23"/>
    <x v="9"/>
    <n v="3"/>
    <n v="90000"/>
    <n v="270000"/>
    <x v="0"/>
  </r>
  <r>
    <d v="2026-10-16T00:00:00"/>
    <s v="T-0051"/>
    <n v="13"/>
    <x v="11"/>
    <x v="8"/>
    <n v="1"/>
    <n v="123000"/>
    <n v="123000"/>
    <x v="3"/>
  </r>
  <r>
    <d v="2026-10-16T00:00:00"/>
    <s v="T-0052"/>
    <n v="29"/>
    <x v="12"/>
    <x v="3"/>
    <n v="5"/>
    <n v="30000"/>
    <n v="150000"/>
    <x v="1"/>
  </r>
  <r>
    <d v="2026-10-16T00:00:00"/>
    <s v="T-0053"/>
    <n v="10"/>
    <x v="21"/>
    <x v="7"/>
    <n v="4"/>
    <n v="55000"/>
    <n v="220000"/>
    <x v="1"/>
  </r>
  <r>
    <d v="2026-10-17T00:00:00"/>
    <s v="T-0054"/>
    <n v="17"/>
    <x v="22"/>
    <x v="8"/>
    <n v="1"/>
    <n v="150000"/>
    <n v="150000"/>
    <x v="3"/>
  </r>
  <r>
    <d v="2026-10-18T00:00:00"/>
    <s v="T-0055"/>
    <n v="22"/>
    <x v="10"/>
    <x v="6"/>
    <n v="5"/>
    <n v="480000"/>
    <n v="2400000"/>
    <x v="0"/>
  </r>
  <r>
    <d v="2026-10-18T00:00:00"/>
    <s v="T-0056"/>
    <n v="9"/>
    <x v="16"/>
    <x v="7"/>
    <n v="2"/>
    <n v="35000"/>
    <n v="70000"/>
    <x v="2"/>
  </r>
  <r>
    <d v="2026-10-20T00:00:00"/>
    <s v="T-0057"/>
    <n v="4"/>
    <x v="24"/>
    <x v="9"/>
    <n v="3"/>
    <n v="220000"/>
    <n v="660000"/>
    <x v="3"/>
  </r>
  <r>
    <d v="2026-10-20T00:00:00"/>
    <s v="T-0058"/>
    <n v="3"/>
    <x v="25"/>
    <x v="9"/>
    <n v="4"/>
    <n v="60000"/>
    <n v="240000"/>
    <x v="0"/>
  </r>
  <r>
    <d v="2026-10-22T00:00:00"/>
    <s v="T-0059"/>
    <n v="14"/>
    <x v="18"/>
    <x v="2"/>
    <n v="2"/>
    <n v="25000"/>
    <n v="50000"/>
    <x v="1"/>
  </r>
  <r>
    <d v="2026-10-24T00:00:00"/>
    <s v="T-0060"/>
    <n v="2"/>
    <x v="23"/>
    <x v="9"/>
    <n v="1"/>
    <n v="90000"/>
    <n v="90000"/>
    <x v="0"/>
  </r>
  <r>
    <d v="2026-10-26T00:00:00"/>
    <s v="T-0061"/>
    <n v="22"/>
    <x v="10"/>
    <x v="6"/>
    <n v="4"/>
    <n v="480000"/>
    <n v="1920000"/>
    <x v="2"/>
  </r>
  <r>
    <d v="2026-10-28T00:00:00"/>
    <s v="T-0062"/>
    <n v="26"/>
    <x v="5"/>
    <x v="4"/>
    <n v="3"/>
    <n v="180000"/>
    <n v="540000"/>
    <x v="1"/>
  </r>
  <r>
    <d v="2026-10-29T00:00:00"/>
    <s v="T-0063"/>
    <n v="13"/>
    <x v="11"/>
    <x v="8"/>
    <n v="1"/>
    <n v="123000"/>
    <n v="123000"/>
    <x v="1"/>
  </r>
  <r>
    <d v="2026-10-29T00:00:00"/>
    <s v="T-0064"/>
    <n v="27"/>
    <x v="14"/>
    <x v="4"/>
    <n v="1"/>
    <n v="120000"/>
    <n v="120000"/>
    <x v="3"/>
  </r>
  <r>
    <d v="2026-10-31T00:00:00"/>
    <s v="T-0065"/>
    <n v="22"/>
    <x v="10"/>
    <x v="6"/>
    <n v="2"/>
    <n v="480000"/>
    <n v="960000"/>
    <x v="3"/>
  </r>
  <r>
    <d v="2026-11-02T00:00:00"/>
    <s v="T-0066"/>
    <n v="28"/>
    <x v="26"/>
    <x v="3"/>
    <n v="2"/>
    <n v="25000"/>
    <n v="50000"/>
    <x v="1"/>
  </r>
  <r>
    <d v="2026-11-03T00:00:00"/>
    <s v="T-0067"/>
    <n v="16"/>
    <x v="27"/>
    <x v="5"/>
    <n v="2"/>
    <n v="90000"/>
    <n v="180000"/>
    <x v="1"/>
  </r>
  <r>
    <d v="2026-11-05T00:00:00"/>
    <s v="T-0068"/>
    <n v="16"/>
    <x v="27"/>
    <x v="5"/>
    <n v="5"/>
    <n v="90000"/>
    <n v="450000"/>
    <x v="2"/>
  </r>
  <r>
    <d v="2026-11-06T00:00:00"/>
    <s v="T-0069"/>
    <n v="21"/>
    <x v="1"/>
    <x v="1"/>
    <n v="1"/>
    <n v="520000"/>
    <n v="520000"/>
    <x v="3"/>
  </r>
  <r>
    <d v="2026-11-07T00:00:00"/>
    <s v="T-0070"/>
    <n v="9"/>
    <x v="16"/>
    <x v="7"/>
    <n v="5"/>
    <n v="35000"/>
    <n v="175000"/>
    <x v="1"/>
  </r>
  <r>
    <d v="2026-11-08T00:00:00"/>
    <s v="T-0071"/>
    <n v="11"/>
    <x v="19"/>
    <x v="7"/>
    <n v="3"/>
    <n v="210000"/>
    <n v="630000"/>
    <x v="2"/>
  </r>
  <r>
    <d v="2026-11-09T00:00:00"/>
    <s v="T-0072"/>
    <n v="5"/>
    <x v="13"/>
    <x v="0"/>
    <n v="2"/>
    <n v="35000"/>
    <n v="70000"/>
    <x v="0"/>
  </r>
  <r>
    <d v="2026-11-10T00:00:00"/>
    <s v="T-0073"/>
    <n v="22"/>
    <x v="10"/>
    <x v="6"/>
    <n v="2"/>
    <n v="480000"/>
    <n v="960000"/>
    <x v="0"/>
  </r>
  <r>
    <d v="2026-11-10T00:00:00"/>
    <s v="T-0074"/>
    <n v="6"/>
    <x v="28"/>
    <x v="0"/>
    <n v="3"/>
    <n v="120000"/>
    <n v="360000"/>
    <x v="1"/>
  </r>
  <r>
    <d v="2026-11-10T00:00:00"/>
    <s v="T-0075"/>
    <n v="22"/>
    <x v="10"/>
    <x v="6"/>
    <n v="1"/>
    <n v="480000"/>
    <n v="480000"/>
    <x v="3"/>
  </r>
  <r>
    <d v="2026-11-10T00:00:00"/>
    <s v="T-0076"/>
    <n v="17"/>
    <x v="22"/>
    <x v="8"/>
    <n v="5"/>
    <n v="150000"/>
    <n v="750000"/>
    <x v="1"/>
  </r>
  <r>
    <d v="2026-11-12T00:00:00"/>
    <s v="T-0077"/>
    <n v="29"/>
    <x v="12"/>
    <x v="3"/>
    <n v="3"/>
    <n v="30000"/>
    <n v="90000"/>
    <x v="1"/>
  </r>
  <r>
    <d v="2026-11-13T00:00:00"/>
    <s v="T-0078"/>
    <n v="12"/>
    <x v="8"/>
    <x v="7"/>
    <n v="1"/>
    <n v="230000"/>
    <n v="230000"/>
    <x v="0"/>
  </r>
  <r>
    <d v="2026-11-14T00:00:00"/>
    <s v="T-0079"/>
    <n v="2"/>
    <x v="23"/>
    <x v="9"/>
    <n v="1"/>
    <n v="90000"/>
    <n v="90000"/>
    <x v="0"/>
  </r>
  <r>
    <d v="2026-11-16T00:00:00"/>
    <s v="T-0080"/>
    <n v="10"/>
    <x v="21"/>
    <x v="7"/>
    <n v="4"/>
    <n v="55000"/>
    <n v="220000"/>
    <x v="0"/>
  </r>
  <r>
    <d v="2026-11-16T00:00:00"/>
    <s v="T-0081"/>
    <n v="4"/>
    <x v="24"/>
    <x v="9"/>
    <n v="1"/>
    <n v="220000"/>
    <n v="220000"/>
    <x v="1"/>
  </r>
  <r>
    <d v="2026-11-17T00:00:00"/>
    <s v="T-0082"/>
    <n v="25"/>
    <x v="6"/>
    <x v="5"/>
    <n v="3"/>
    <n v="80000"/>
    <n v="240000"/>
    <x v="3"/>
  </r>
  <r>
    <d v="2026-11-17T00:00:00"/>
    <s v="T-0083"/>
    <n v="5"/>
    <x v="13"/>
    <x v="0"/>
    <n v="2"/>
    <n v="35000"/>
    <n v="70000"/>
    <x v="2"/>
  </r>
  <r>
    <d v="2026-11-18T00:00:00"/>
    <s v="T-0084"/>
    <n v="17"/>
    <x v="22"/>
    <x v="8"/>
    <n v="3"/>
    <n v="150000"/>
    <n v="450000"/>
    <x v="2"/>
  </r>
  <r>
    <d v="2026-11-20T00:00:00"/>
    <s v="T-0085"/>
    <n v="11"/>
    <x v="19"/>
    <x v="7"/>
    <n v="1"/>
    <n v="210000"/>
    <n v="210000"/>
    <x v="2"/>
  </r>
  <r>
    <d v="2026-11-20T00:00:00"/>
    <s v="T-0086"/>
    <n v="27"/>
    <x v="14"/>
    <x v="4"/>
    <n v="4"/>
    <n v="120000"/>
    <n v="480000"/>
    <x v="1"/>
  </r>
  <r>
    <d v="2026-11-22T00:00:00"/>
    <s v="T-0087"/>
    <n v="17"/>
    <x v="22"/>
    <x v="8"/>
    <n v="3"/>
    <n v="150000"/>
    <n v="450000"/>
    <x v="2"/>
  </r>
  <r>
    <d v="2026-11-23T00:00:00"/>
    <s v="T-0088"/>
    <n v="18"/>
    <x v="9"/>
    <x v="5"/>
    <n v="5"/>
    <n v="65000"/>
    <n v="325000"/>
    <x v="2"/>
  </r>
  <r>
    <d v="2026-11-25T00:00:00"/>
    <s v="T-0089"/>
    <n v="10"/>
    <x v="21"/>
    <x v="7"/>
    <n v="3"/>
    <n v="55000"/>
    <n v="165000"/>
    <x v="3"/>
  </r>
  <r>
    <d v="2026-11-26T00:00:00"/>
    <s v="T-0090"/>
    <n v="15"/>
    <x v="2"/>
    <x v="2"/>
    <n v="3"/>
    <n v="30000"/>
    <n v="90000"/>
    <x v="0"/>
  </r>
  <r>
    <d v="2026-11-28T00:00:00"/>
    <s v="T-0091"/>
    <n v="12"/>
    <x v="8"/>
    <x v="7"/>
    <n v="4"/>
    <n v="230000"/>
    <n v="920000"/>
    <x v="0"/>
  </r>
  <r>
    <d v="2026-11-30T00:00:00"/>
    <s v="T-0092"/>
    <n v="19"/>
    <x v="29"/>
    <x v="9"/>
    <n v="1"/>
    <n v="85000"/>
    <n v="85000"/>
    <x v="1"/>
  </r>
  <r>
    <d v="2026-12-01T00:00:00"/>
    <s v="T-0093"/>
    <n v="28"/>
    <x v="26"/>
    <x v="3"/>
    <n v="4"/>
    <n v="25000"/>
    <n v="100000"/>
    <x v="3"/>
  </r>
  <r>
    <d v="2026-12-03T00:00:00"/>
    <s v="T-0094"/>
    <n v="2"/>
    <x v="23"/>
    <x v="9"/>
    <n v="4"/>
    <n v="90000"/>
    <n v="360000"/>
    <x v="1"/>
  </r>
  <r>
    <d v="2026-12-05T00:00:00"/>
    <s v="T-0095"/>
    <n v="7"/>
    <x v="4"/>
    <x v="0"/>
    <n v="4"/>
    <n v="180000"/>
    <n v="720000"/>
    <x v="3"/>
  </r>
  <r>
    <d v="2026-12-05T00:00:00"/>
    <s v="T-0096"/>
    <n v="21"/>
    <x v="1"/>
    <x v="1"/>
    <n v="1"/>
    <n v="520000"/>
    <n v="520000"/>
    <x v="0"/>
  </r>
  <r>
    <d v="2026-12-05T00:00:00"/>
    <s v="T-0097"/>
    <n v="25"/>
    <x v="6"/>
    <x v="5"/>
    <n v="5"/>
    <n v="80000"/>
    <n v="400000"/>
    <x v="3"/>
  </r>
  <r>
    <d v="2026-12-06T00:00:00"/>
    <s v="T-0098"/>
    <n v="18"/>
    <x v="9"/>
    <x v="5"/>
    <n v="3"/>
    <n v="65000"/>
    <n v="195000"/>
    <x v="0"/>
  </r>
  <r>
    <d v="2026-12-07T00:00:00"/>
    <s v="T-0099"/>
    <n v="23"/>
    <x v="7"/>
    <x v="6"/>
    <n v="5"/>
    <n v="90000"/>
    <n v="450000"/>
    <x v="0"/>
  </r>
  <r>
    <d v="2026-12-08T00:00:00"/>
    <s v="T-0100"/>
    <n v="22"/>
    <x v="10"/>
    <x v="6"/>
    <n v="1"/>
    <n v="480000"/>
    <n v="480000"/>
    <x v="1"/>
  </r>
  <r>
    <d v="2026-12-09T00:00:00"/>
    <s v="T-0101"/>
    <n v="16"/>
    <x v="27"/>
    <x v="5"/>
    <n v="3"/>
    <n v="90000"/>
    <n v="270000"/>
    <x v="0"/>
  </r>
  <r>
    <d v="2026-12-11T00:00:00"/>
    <s v="T-0102"/>
    <n v="23"/>
    <x v="7"/>
    <x v="6"/>
    <n v="2"/>
    <n v="90000"/>
    <n v="180000"/>
    <x v="0"/>
  </r>
  <r>
    <d v="2026-12-12T00:00:00"/>
    <s v="T-0103"/>
    <n v="19"/>
    <x v="29"/>
    <x v="9"/>
    <n v="4"/>
    <n v="85000"/>
    <n v="340000"/>
    <x v="2"/>
  </r>
  <r>
    <d v="2026-12-14T00:00:00"/>
    <s v="T-0104"/>
    <n v="3"/>
    <x v="25"/>
    <x v="9"/>
    <n v="1"/>
    <n v="60000"/>
    <n v="60000"/>
    <x v="0"/>
  </r>
  <r>
    <d v="2026-12-14T00:00:00"/>
    <s v="T-0105"/>
    <n v="22"/>
    <x v="10"/>
    <x v="6"/>
    <n v="4"/>
    <n v="480000"/>
    <n v="1920000"/>
    <x v="1"/>
  </r>
  <r>
    <d v="2026-12-15T00:00:00"/>
    <s v="T-0106"/>
    <n v="2"/>
    <x v="23"/>
    <x v="9"/>
    <n v="5"/>
    <n v="90000"/>
    <n v="450000"/>
    <x v="3"/>
  </r>
  <r>
    <d v="2026-12-16T00:00:00"/>
    <s v="T-0107"/>
    <n v="25"/>
    <x v="6"/>
    <x v="5"/>
    <n v="1"/>
    <n v="80000"/>
    <n v="80000"/>
    <x v="2"/>
  </r>
  <r>
    <d v="2026-12-18T00:00:00"/>
    <s v="T-0108"/>
    <n v="6"/>
    <x v="28"/>
    <x v="0"/>
    <n v="2"/>
    <n v="120000"/>
    <n v="240000"/>
    <x v="0"/>
  </r>
  <r>
    <d v="2026-12-20T00:00:00"/>
    <s v="T-0109"/>
    <n v="30"/>
    <x v="3"/>
    <x v="3"/>
    <n v="5"/>
    <n v="20000"/>
    <n v="100000"/>
    <x v="3"/>
  </r>
  <r>
    <d v="2026-12-22T00:00:00"/>
    <s v="T-0110"/>
    <n v="30"/>
    <x v="3"/>
    <x v="3"/>
    <n v="5"/>
    <n v="20000"/>
    <n v="100000"/>
    <x v="0"/>
  </r>
  <r>
    <d v="2026-12-24T00:00:00"/>
    <s v="T-0111"/>
    <n v="25"/>
    <x v="6"/>
    <x v="5"/>
    <n v="2"/>
    <n v="80000"/>
    <n v="160000"/>
    <x v="2"/>
  </r>
  <r>
    <d v="2026-12-24T00:00:00"/>
    <s v="T-0112"/>
    <n v="14"/>
    <x v="18"/>
    <x v="2"/>
    <n v="4"/>
    <n v="25000"/>
    <n v="100000"/>
    <x v="1"/>
  </r>
  <r>
    <d v="2026-12-26T00:00:00"/>
    <s v="T-0113"/>
    <n v="5"/>
    <x v="13"/>
    <x v="0"/>
    <n v="2"/>
    <n v="35000"/>
    <n v="70000"/>
    <x v="1"/>
  </r>
  <r>
    <d v="2026-12-28T00:00:00"/>
    <s v="T-0114"/>
    <n v="19"/>
    <x v="29"/>
    <x v="9"/>
    <n v="2"/>
    <n v="85000"/>
    <n v="170000"/>
    <x v="1"/>
  </r>
  <r>
    <d v="2026-12-28T00:00:00"/>
    <s v="T-0115"/>
    <n v="30"/>
    <x v="3"/>
    <x v="3"/>
    <n v="4"/>
    <n v="20000"/>
    <n v="80000"/>
    <x v="0"/>
  </r>
  <r>
    <d v="2026-12-29T00:00:00"/>
    <s v="T-0116"/>
    <n v="5"/>
    <x v="13"/>
    <x v="0"/>
    <n v="5"/>
    <n v="35000"/>
    <n v="175000"/>
    <x v="3"/>
  </r>
  <r>
    <d v="2026-12-31T00:00:00"/>
    <s v="T-0117"/>
    <n v="27"/>
    <x v="14"/>
    <x v="4"/>
    <n v="3"/>
    <n v="120000"/>
    <n v="360000"/>
    <x v="2"/>
  </r>
  <r>
    <d v="2027-01-02T00:00:00"/>
    <s v="T-0118"/>
    <n v="28"/>
    <x v="26"/>
    <x v="3"/>
    <n v="2"/>
    <n v="25000"/>
    <n v="50000"/>
    <x v="1"/>
  </r>
  <r>
    <d v="2027-01-03T00:00:00"/>
    <s v="T-0119"/>
    <n v="3"/>
    <x v="25"/>
    <x v="9"/>
    <n v="3"/>
    <n v="60000"/>
    <n v="180000"/>
    <x v="2"/>
  </r>
  <r>
    <d v="2027-01-03T00:00:00"/>
    <s v="T-0120"/>
    <n v="27"/>
    <x v="14"/>
    <x v="4"/>
    <n v="5"/>
    <n v="120000"/>
    <n v="600000"/>
    <x v="3"/>
  </r>
  <r>
    <d v="2027-01-04T00:00:00"/>
    <s v="T-0121"/>
    <n v="18"/>
    <x v="9"/>
    <x v="5"/>
    <n v="4"/>
    <n v="65000"/>
    <n v="260000"/>
    <x v="3"/>
  </r>
  <r>
    <d v="2027-01-04T00:00:00"/>
    <s v="T-0122"/>
    <n v="15"/>
    <x v="2"/>
    <x v="2"/>
    <n v="4"/>
    <n v="30000"/>
    <n v="120000"/>
    <x v="0"/>
  </r>
  <r>
    <d v="2027-01-04T00:00:00"/>
    <s v="T-0123"/>
    <n v="13"/>
    <x v="11"/>
    <x v="8"/>
    <n v="3"/>
    <n v="123000"/>
    <n v="369000"/>
    <x v="2"/>
  </r>
  <r>
    <d v="2027-01-05T00:00:00"/>
    <s v="T-0124"/>
    <n v="24"/>
    <x v="17"/>
    <x v="10"/>
    <n v="5"/>
    <n v="55000"/>
    <n v="275000"/>
    <x v="0"/>
  </r>
  <r>
    <d v="2027-01-07T00:00:00"/>
    <s v="T-0125"/>
    <n v="2"/>
    <x v="23"/>
    <x v="9"/>
    <n v="4"/>
    <n v="90000"/>
    <n v="360000"/>
    <x v="3"/>
  </r>
  <r>
    <d v="2027-01-09T00:00:00"/>
    <s v="T-0126"/>
    <n v="4"/>
    <x v="24"/>
    <x v="9"/>
    <n v="1"/>
    <n v="220000"/>
    <n v="220000"/>
    <x v="2"/>
  </r>
  <r>
    <d v="2027-01-09T00:00:00"/>
    <s v="T-0127"/>
    <n v="28"/>
    <x v="26"/>
    <x v="3"/>
    <n v="2"/>
    <n v="25000"/>
    <n v="50000"/>
    <x v="3"/>
  </r>
  <r>
    <d v="2027-01-09T00:00:00"/>
    <s v="T-0128"/>
    <n v="25"/>
    <x v="6"/>
    <x v="5"/>
    <n v="3"/>
    <n v="80000"/>
    <n v="240000"/>
    <x v="1"/>
  </r>
  <r>
    <d v="2027-01-10T00:00:00"/>
    <s v="T-0129"/>
    <n v="7"/>
    <x v="4"/>
    <x v="0"/>
    <n v="4"/>
    <n v="180000"/>
    <n v="720000"/>
    <x v="1"/>
  </r>
  <r>
    <d v="2027-01-12T00:00:00"/>
    <s v="T-0130"/>
    <n v="25"/>
    <x v="6"/>
    <x v="5"/>
    <n v="4"/>
    <n v="80000"/>
    <n v="320000"/>
    <x v="3"/>
  </r>
  <r>
    <d v="2027-01-13T00:00:00"/>
    <s v="T-0131"/>
    <n v="18"/>
    <x v="9"/>
    <x v="5"/>
    <n v="2"/>
    <n v="65000"/>
    <n v="130000"/>
    <x v="2"/>
  </r>
  <r>
    <d v="2027-01-15T00:00:00"/>
    <s v="T-0132"/>
    <n v="12"/>
    <x v="8"/>
    <x v="7"/>
    <n v="5"/>
    <n v="230000"/>
    <n v="1150000"/>
    <x v="1"/>
  </r>
  <r>
    <d v="2027-01-17T00:00:00"/>
    <s v="T-0133"/>
    <n v="5"/>
    <x v="13"/>
    <x v="0"/>
    <n v="1"/>
    <n v="35000"/>
    <n v="35000"/>
    <x v="0"/>
  </r>
  <r>
    <d v="2027-01-18T00:00:00"/>
    <s v="T-0134"/>
    <n v="11"/>
    <x v="19"/>
    <x v="7"/>
    <n v="1"/>
    <n v="210000"/>
    <n v="210000"/>
    <x v="3"/>
  </r>
  <r>
    <d v="2027-01-20T00:00:00"/>
    <s v="T-0135"/>
    <n v="19"/>
    <x v="29"/>
    <x v="9"/>
    <n v="3"/>
    <n v="85000"/>
    <n v="255000"/>
    <x v="3"/>
  </r>
  <r>
    <d v="2027-01-21T00:00:00"/>
    <s v="T-0136"/>
    <n v="21"/>
    <x v="1"/>
    <x v="1"/>
    <n v="4"/>
    <n v="520000"/>
    <n v="2080000"/>
    <x v="3"/>
  </r>
  <r>
    <d v="2027-01-22T00:00:00"/>
    <s v="T-0137"/>
    <n v="2"/>
    <x v="23"/>
    <x v="9"/>
    <n v="4"/>
    <n v="90000"/>
    <n v="360000"/>
    <x v="2"/>
  </r>
  <r>
    <d v="2027-01-22T00:00:00"/>
    <s v="T-0138"/>
    <n v="28"/>
    <x v="26"/>
    <x v="3"/>
    <n v="2"/>
    <n v="25000"/>
    <n v="50000"/>
    <x v="1"/>
  </r>
  <r>
    <d v="2027-01-23T00:00:00"/>
    <s v="T-0139"/>
    <n v="22"/>
    <x v="10"/>
    <x v="6"/>
    <n v="3"/>
    <n v="480000"/>
    <n v="1440000"/>
    <x v="3"/>
  </r>
  <r>
    <d v="2027-01-24T00:00:00"/>
    <s v="T-0140"/>
    <n v="16"/>
    <x v="27"/>
    <x v="5"/>
    <n v="2"/>
    <n v="90000"/>
    <n v="180000"/>
    <x v="3"/>
  </r>
  <r>
    <d v="2027-01-26T00:00:00"/>
    <s v="T-0141"/>
    <n v="19"/>
    <x v="29"/>
    <x v="9"/>
    <n v="5"/>
    <n v="85000"/>
    <n v="425000"/>
    <x v="0"/>
  </r>
  <r>
    <d v="2027-01-28T00:00:00"/>
    <s v="T-0142"/>
    <n v="12"/>
    <x v="8"/>
    <x v="7"/>
    <n v="2"/>
    <n v="230000"/>
    <n v="460000"/>
    <x v="2"/>
  </r>
  <r>
    <d v="2027-01-28T00:00:00"/>
    <s v="T-0143"/>
    <n v="8"/>
    <x v="0"/>
    <x v="0"/>
    <n v="3"/>
    <n v="160000"/>
    <n v="480000"/>
    <x v="2"/>
  </r>
  <r>
    <d v="2027-01-30T00:00:00"/>
    <s v="T-0144"/>
    <n v="28"/>
    <x v="26"/>
    <x v="3"/>
    <n v="4"/>
    <n v="25000"/>
    <n v="100000"/>
    <x v="1"/>
  </r>
  <r>
    <d v="2027-02-01T00:00:00"/>
    <s v="T-0145"/>
    <n v="29"/>
    <x v="12"/>
    <x v="3"/>
    <n v="1"/>
    <n v="30000"/>
    <n v="30000"/>
    <x v="2"/>
  </r>
  <r>
    <d v="2027-02-02T00:00:00"/>
    <s v="T-0146"/>
    <n v="6"/>
    <x v="28"/>
    <x v="0"/>
    <n v="5"/>
    <n v="120000"/>
    <n v="600000"/>
    <x v="0"/>
  </r>
  <r>
    <d v="2027-02-02T00:00:00"/>
    <s v="T-0147"/>
    <n v="22"/>
    <x v="10"/>
    <x v="6"/>
    <n v="3"/>
    <n v="480000"/>
    <n v="1440000"/>
    <x v="1"/>
  </r>
  <r>
    <d v="2027-02-04T00:00:00"/>
    <s v="T-0148"/>
    <n v="2"/>
    <x v="23"/>
    <x v="9"/>
    <n v="5"/>
    <n v="90000"/>
    <n v="450000"/>
    <x v="0"/>
  </r>
  <r>
    <d v="2027-02-06T00:00:00"/>
    <s v="T-0149"/>
    <n v="12"/>
    <x v="8"/>
    <x v="7"/>
    <n v="2"/>
    <n v="230000"/>
    <n v="460000"/>
    <x v="0"/>
  </r>
  <r>
    <d v="2027-02-06T00:00:00"/>
    <s v="T-0150"/>
    <n v="28"/>
    <x v="26"/>
    <x v="3"/>
    <n v="4"/>
    <n v="25000"/>
    <n v="100000"/>
    <x v="1"/>
  </r>
  <r>
    <d v="2027-02-07T00:00:00"/>
    <s v="T-0151"/>
    <n v="1"/>
    <x v="15"/>
    <x v="9"/>
    <n v="1"/>
    <n v="45000"/>
    <n v="45000"/>
    <x v="0"/>
  </r>
  <r>
    <d v="2027-02-08T00:00:00"/>
    <s v="T-0152"/>
    <n v="7"/>
    <x v="4"/>
    <x v="0"/>
    <n v="3"/>
    <n v="180000"/>
    <n v="540000"/>
    <x v="2"/>
  </r>
  <r>
    <d v="2027-02-10T00:00:00"/>
    <s v="T-0153"/>
    <n v="8"/>
    <x v="0"/>
    <x v="0"/>
    <n v="5"/>
    <n v="160000"/>
    <n v="800000"/>
    <x v="2"/>
  </r>
  <r>
    <d v="2027-02-11T00:00:00"/>
    <s v="T-0154"/>
    <n v="11"/>
    <x v="19"/>
    <x v="7"/>
    <n v="2"/>
    <n v="210000"/>
    <n v="420000"/>
    <x v="2"/>
  </r>
  <r>
    <d v="2027-02-12T00:00:00"/>
    <s v="T-0155"/>
    <n v="3"/>
    <x v="25"/>
    <x v="9"/>
    <n v="4"/>
    <n v="60000"/>
    <n v="240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F3C1A-5009-4EB4-973A-9035DC713C4B}" name="TablaDinámica5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Q25:R30" firstHeaderRow="1" firstDataRow="1" firstDataCol="1"/>
  <pivotFields count="9">
    <pivotField numFmtId="14" showAll="0"/>
    <pivotField showAll="0"/>
    <pivotField showAll="0"/>
    <pivotField showAll="0"/>
    <pivotField showAll="0"/>
    <pivotField showAll="0"/>
    <pivotField numFmtId="168" showAll="0"/>
    <pivotField dataField="1" numFmtId="168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PRECIO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478D4-CF53-4327-BA62-65A7C6319563}" name="TablaDinámica4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28:C59" firstHeaderRow="1" firstDataRow="1" firstDataCol="1"/>
  <pivotFields count="9">
    <pivotField numFmtId="14" showAll="0"/>
    <pivotField showAll="0"/>
    <pivotField showAll="0"/>
    <pivotField axis="axisRow" showAll="0">
      <items count="31">
        <item x="13"/>
        <item x="28"/>
        <item x="14"/>
        <item x="29"/>
        <item x="18"/>
        <item x="2"/>
        <item x="9"/>
        <item x="4"/>
        <item x="8"/>
        <item x="19"/>
        <item x="22"/>
        <item x="12"/>
        <item x="17"/>
        <item x="10"/>
        <item x="21"/>
        <item x="16"/>
        <item x="1"/>
        <item x="23"/>
        <item x="15"/>
        <item x="0"/>
        <item x="27"/>
        <item x="6"/>
        <item x="11"/>
        <item x="5"/>
        <item x="26"/>
        <item x="25"/>
        <item x="24"/>
        <item x="7"/>
        <item x="3"/>
        <item x="20"/>
        <item t="default"/>
      </items>
    </pivotField>
    <pivotField showAll="0"/>
    <pivotField showAll="0"/>
    <pivotField numFmtId="168" showAll="0"/>
    <pivotField dataField="1" numFmtId="168" showAll="0"/>
    <pivotField showAll="0"/>
  </pivotFields>
  <rowFields count="1">
    <field x="3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Suma de PRECIO TOTAL" fld="7" baseField="3" baseItem="0" numFmtId="17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64645-4100-4A56-A3E1-07285ECDB6D1}" name="TablaDinámica3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4:C17" firstHeaderRow="1" firstDataRow="1" firstDataCol="1"/>
  <pivotFields count="9">
    <pivotField numFmtId="14" showAll="0"/>
    <pivotField showAll="0"/>
    <pivotField showAll="0"/>
    <pivotField showAll="0"/>
    <pivotField axis="axisRow" showAll="0">
      <items count="13">
        <item x="10"/>
        <item x="3"/>
        <item x="9"/>
        <item x="7"/>
        <item x="0"/>
        <item x="2"/>
        <item x="11"/>
        <item x="5"/>
        <item x="6"/>
        <item x="1"/>
        <item x="8"/>
        <item x="4"/>
        <item t="default"/>
      </items>
    </pivotField>
    <pivotField showAll="0"/>
    <pivotField numFmtId="168" showAll="0"/>
    <pivotField dataField="1" numFmtId="168"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PRECIO TOTAL" fld="7" baseField="4" baseItem="10" numFmtId="173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585A-C864-42B5-A066-758AC764865A}">
  <dimension ref="B5:E35"/>
  <sheetViews>
    <sheetView workbookViewId="0">
      <selection activeCell="I14" sqref="I14"/>
    </sheetView>
  </sheetViews>
  <sheetFormatPr baseColWidth="10" defaultRowHeight="15" x14ac:dyDescent="0.25"/>
  <cols>
    <col min="3" max="3" width="23.42578125" bestFit="1" customWidth="1"/>
    <col min="4" max="4" width="17.5703125" bestFit="1" customWidth="1"/>
    <col min="5" max="5" width="13" bestFit="1" customWidth="1"/>
  </cols>
  <sheetData>
    <row r="5" spans="2:5" ht="15.75" thickBot="1" x14ac:dyDescent="0.3">
      <c r="B5" s="3" t="s">
        <v>0</v>
      </c>
      <c r="C5" s="4" t="s">
        <v>1</v>
      </c>
      <c r="D5" s="4" t="s">
        <v>2</v>
      </c>
      <c r="E5" s="5" t="s">
        <v>3</v>
      </c>
    </row>
    <row r="6" spans="2:5" x14ac:dyDescent="0.25">
      <c r="B6" s="6">
        <v>1</v>
      </c>
      <c r="C6" s="7" t="s">
        <v>4</v>
      </c>
      <c r="D6" s="7" t="s">
        <v>45</v>
      </c>
      <c r="E6" s="8">
        <v>45000</v>
      </c>
    </row>
    <row r="7" spans="2:5" x14ac:dyDescent="0.25">
      <c r="B7" s="9">
        <v>2</v>
      </c>
      <c r="C7" s="10" t="s">
        <v>5</v>
      </c>
      <c r="D7" s="10" t="s">
        <v>45</v>
      </c>
      <c r="E7" s="11">
        <v>90000</v>
      </c>
    </row>
    <row r="8" spans="2:5" x14ac:dyDescent="0.25">
      <c r="B8" s="12">
        <v>3</v>
      </c>
      <c r="C8" s="13" t="s">
        <v>6</v>
      </c>
      <c r="D8" s="13" t="s">
        <v>45</v>
      </c>
      <c r="E8" s="14">
        <v>60000</v>
      </c>
    </row>
    <row r="9" spans="2:5" x14ac:dyDescent="0.25">
      <c r="B9" s="9">
        <v>4</v>
      </c>
      <c r="C9" s="10" t="s">
        <v>7</v>
      </c>
      <c r="D9" s="10" t="s">
        <v>45</v>
      </c>
      <c r="E9" s="11">
        <v>220000</v>
      </c>
    </row>
    <row r="10" spans="2:5" x14ac:dyDescent="0.25">
      <c r="B10" s="12">
        <v>5</v>
      </c>
      <c r="C10" s="13" t="s">
        <v>8</v>
      </c>
      <c r="D10" s="13" t="s">
        <v>34</v>
      </c>
      <c r="E10" s="14">
        <v>35000</v>
      </c>
    </row>
    <row r="11" spans="2:5" x14ac:dyDescent="0.25">
      <c r="B11" s="9">
        <v>6</v>
      </c>
      <c r="C11" s="10" t="s">
        <v>10</v>
      </c>
      <c r="D11" s="10" t="s">
        <v>34</v>
      </c>
      <c r="E11" s="11">
        <v>120000</v>
      </c>
    </row>
    <row r="12" spans="2:5" x14ac:dyDescent="0.25">
      <c r="B12" s="12">
        <v>7</v>
      </c>
      <c r="C12" s="13" t="s">
        <v>9</v>
      </c>
      <c r="D12" s="13" t="s">
        <v>34</v>
      </c>
      <c r="E12" s="14">
        <v>180000</v>
      </c>
    </row>
    <row r="13" spans="2:5" x14ac:dyDescent="0.25">
      <c r="B13" s="9">
        <v>8</v>
      </c>
      <c r="C13" s="10" t="s">
        <v>35</v>
      </c>
      <c r="D13" s="10" t="s">
        <v>34</v>
      </c>
      <c r="E13" s="11">
        <v>160000</v>
      </c>
    </row>
    <row r="14" spans="2:5" x14ac:dyDescent="0.25">
      <c r="B14" s="12">
        <v>9</v>
      </c>
      <c r="C14" s="13" t="s">
        <v>12</v>
      </c>
      <c r="D14" s="13" t="s">
        <v>36</v>
      </c>
      <c r="E14" s="14">
        <v>35000</v>
      </c>
    </row>
    <row r="15" spans="2:5" x14ac:dyDescent="0.25">
      <c r="B15" s="9">
        <v>10</v>
      </c>
      <c r="C15" s="10" t="s">
        <v>11</v>
      </c>
      <c r="D15" s="10" t="s">
        <v>36</v>
      </c>
      <c r="E15" s="11">
        <v>55000</v>
      </c>
    </row>
    <row r="16" spans="2:5" x14ac:dyDescent="0.25">
      <c r="B16" s="12">
        <v>11</v>
      </c>
      <c r="C16" s="13" t="s">
        <v>13</v>
      </c>
      <c r="D16" s="13" t="s">
        <v>36</v>
      </c>
      <c r="E16" s="14">
        <v>210000</v>
      </c>
    </row>
    <row r="17" spans="2:5" x14ac:dyDescent="0.25">
      <c r="B17" s="9">
        <v>12</v>
      </c>
      <c r="C17" s="10" t="s">
        <v>14</v>
      </c>
      <c r="D17" s="10" t="s">
        <v>36</v>
      </c>
      <c r="E17" s="11">
        <v>230000</v>
      </c>
    </row>
    <row r="18" spans="2:5" x14ac:dyDescent="0.25">
      <c r="B18" s="12">
        <v>13</v>
      </c>
      <c r="C18" s="13" t="s">
        <v>15</v>
      </c>
      <c r="D18" s="13" t="s">
        <v>37</v>
      </c>
      <c r="E18" s="14">
        <v>123000</v>
      </c>
    </row>
    <row r="19" spans="2:5" x14ac:dyDescent="0.25">
      <c r="B19" s="9">
        <v>14</v>
      </c>
      <c r="C19" s="10" t="s">
        <v>16</v>
      </c>
      <c r="D19" s="10" t="s">
        <v>38</v>
      </c>
      <c r="E19" s="11">
        <v>25000</v>
      </c>
    </row>
    <row r="20" spans="2:5" x14ac:dyDescent="0.25">
      <c r="B20" s="12">
        <v>15</v>
      </c>
      <c r="C20" s="13" t="s">
        <v>17</v>
      </c>
      <c r="D20" s="13" t="s">
        <v>38</v>
      </c>
      <c r="E20" s="14">
        <v>30000</v>
      </c>
    </row>
    <row r="21" spans="2:5" x14ac:dyDescent="0.25">
      <c r="B21" s="9">
        <v>16</v>
      </c>
      <c r="C21" s="10" t="s">
        <v>18</v>
      </c>
      <c r="D21" s="10" t="s">
        <v>39</v>
      </c>
      <c r="E21" s="11">
        <v>90000</v>
      </c>
    </row>
    <row r="22" spans="2:5" x14ac:dyDescent="0.25">
      <c r="B22" s="12">
        <v>17</v>
      </c>
      <c r="C22" s="13" t="s">
        <v>19</v>
      </c>
      <c r="D22" s="13" t="s">
        <v>37</v>
      </c>
      <c r="E22" s="14">
        <v>150000</v>
      </c>
    </row>
    <row r="23" spans="2:5" x14ac:dyDescent="0.25">
      <c r="B23" s="9">
        <v>18</v>
      </c>
      <c r="C23" s="10" t="s">
        <v>20</v>
      </c>
      <c r="D23" s="10" t="s">
        <v>39</v>
      </c>
      <c r="E23" s="11">
        <v>65000</v>
      </c>
    </row>
    <row r="24" spans="2:5" x14ac:dyDescent="0.25">
      <c r="B24" s="12">
        <v>19</v>
      </c>
      <c r="C24" s="13" t="s">
        <v>21</v>
      </c>
      <c r="D24" s="13" t="s">
        <v>45</v>
      </c>
      <c r="E24" s="14">
        <v>85000</v>
      </c>
    </row>
    <row r="25" spans="2:5" x14ac:dyDescent="0.25">
      <c r="B25" s="9">
        <v>20</v>
      </c>
      <c r="C25" s="10" t="s">
        <v>22</v>
      </c>
      <c r="D25" s="10" t="s">
        <v>40</v>
      </c>
      <c r="E25" s="11">
        <v>120000</v>
      </c>
    </row>
    <row r="26" spans="2:5" x14ac:dyDescent="0.25">
      <c r="B26" s="12">
        <v>21</v>
      </c>
      <c r="C26" s="13" t="s">
        <v>23</v>
      </c>
      <c r="D26" s="13" t="s">
        <v>41</v>
      </c>
      <c r="E26" s="14">
        <v>520000</v>
      </c>
    </row>
    <row r="27" spans="2:5" x14ac:dyDescent="0.25">
      <c r="B27" s="9">
        <v>22</v>
      </c>
      <c r="C27" s="10" t="s">
        <v>24</v>
      </c>
      <c r="D27" s="10" t="s">
        <v>42</v>
      </c>
      <c r="E27" s="11">
        <v>480000</v>
      </c>
    </row>
    <row r="28" spans="2:5" x14ac:dyDescent="0.25">
      <c r="B28" s="12">
        <v>23</v>
      </c>
      <c r="C28" s="13" t="s">
        <v>25</v>
      </c>
      <c r="D28" s="13" t="s">
        <v>42</v>
      </c>
      <c r="E28" s="14">
        <v>90000</v>
      </c>
    </row>
    <row r="29" spans="2:5" x14ac:dyDescent="0.25">
      <c r="B29" s="9">
        <v>24</v>
      </c>
      <c r="C29" s="10" t="s">
        <v>26</v>
      </c>
      <c r="D29" s="10" t="s">
        <v>33</v>
      </c>
      <c r="E29" s="11">
        <v>55000</v>
      </c>
    </row>
    <row r="30" spans="2:5" x14ac:dyDescent="0.25">
      <c r="B30" s="12">
        <v>25</v>
      </c>
      <c r="C30" s="13" t="s">
        <v>27</v>
      </c>
      <c r="D30" s="13" t="s">
        <v>39</v>
      </c>
      <c r="E30" s="14">
        <v>80000</v>
      </c>
    </row>
    <row r="31" spans="2:5" x14ac:dyDescent="0.25">
      <c r="B31" s="9">
        <v>26</v>
      </c>
      <c r="C31" s="10" t="s">
        <v>28</v>
      </c>
      <c r="D31" s="10" t="s">
        <v>43</v>
      </c>
      <c r="E31" s="11">
        <v>180000</v>
      </c>
    </row>
    <row r="32" spans="2:5" x14ac:dyDescent="0.25">
      <c r="B32" s="12">
        <v>27</v>
      </c>
      <c r="C32" s="13" t="s">
        <v>29</v>
      </c>
      <c r="D32" s="13" t="s">
        <v>43</v>
      </c>
      <c r="E32" s="14">
        <v>120000</v>
      </c>
    </row>
    <row r="33" spans="2:5" x14ac:dyDescent="0.25">
      <c r="B33" s="9">
        <v>28</v>
      </c>
      <c r="C33" s="10" t="s">
        <v>30</v>
      </c>
      <c r="D33" s="10" t="s">
        <v>44</v>
      </c>
      <c r="E33" s="11">
        <v>25000</v>
      </c>
    </row>
    <row r="34" spans="2:5" x14ac:dyDescent="0.25">
      <c r="B34" s="12">
        <v>29</v>
      </c>
      <c r="C34" s="13" t="s">
        <v>31</v>
      </c>
      <c r="D34" s="13" t="s">
        <v>44</v>
      </c>
      <c r="E34" s="14">
        <v>30000</v>
      </c>
    </row>
    <row r="35" spans="2:5" x14ac:dyDescent="0.25">
      <c r="B35" s="15">
        <v>30</v>
      </c>
      <c r="C35" s="16" t="s">
        <v>32</v>
      </c>
      <c r="D35" s="16" t="s">
        <v>44</v>
      </c>
      <c r="E35" s="17">
        <v>20000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8108-782B-44D0-9C3E-C187EF65A169}">
  <dimension ref="B5:L156"/>
  <sheetViews>
    <sheetView topLeftCell="A148" workbookViewId="0">
      <selection activeCell="K5" sqref="K5"/>
    </sheetView>
  </sheetViews>
  <sheetFormatPr baseColWidth="10" defaultRowHeight="15" x14ac:dyDescent="0.25"/>
  <cols>
    <col min="4" max="4" width="11.7109375" bestFit="1" customWidth="1"/>
    <col min="5" max="5" width="24.42578125" bestFit="1" customWidth="1"/>
    <col min="6" max="6" width="24.42578125" customWidth="1"/>
    <col min="7" max="7" width="12.7109375" customWidth="1"/>
    <col min="8" max="8" width="19.28515625" customWidth="1"/>
    <col min="9" max="9" width="16.5703125" customWidth="1"/>
    <col min="10" max="10" width="15.28515625" customWidth="1"/>
  </cols>
  <sheetData>
    <row r="5" spans="2:12" ht="15.75" thickBot="1" x14ac:dyDescent="0.3">
      <c r="B5" s="4" t="s">
        <v>46</v>
      </c>
      <c r="C5" s="4" t="s">
        <v>47</v>
      </c>
      <c r="D5" s="4" t="s">
        <v>0</v>
      </c>
      <c r="E5" s="4" t="s">
        <v>1</v>
      </c>
      <c r="F5" s="4" t="s">
        <v>2</v>
      </c>
      <c r="G5" s="4" t="s">
        <v>48</v>
      </c>
      <c r="H5" s="4" t="s">
        <v>205</v>
      </c>
      <c r="I5" s="4" t="s">
        <v>206</v>
      </c>
      <c r="J5" s="5" t="s">
        <v>49</v>
      </c>
    </row>
    <row r="6" spans="2:12" x14ac:dyDescent="0.25">
      <c r="B6" s="18">
        <v>46266</v>
      </c>
      <c r="C6" s="7" t="s">
        <v>50</v>
      </c>
      <c r="D6" s="7">
        <v>8</v>
      </c>
      <c r="E6" s="7" t="str">
        <f>VLOOKUP(D6,Productos!$B$6:$C$35,2,FALSE)</f>
        <v>PARLANTE BLUETOOTH</v>
      </c>
      <c r="F6" s="7" t="str">
        <f>VLOOKUP(D6,Productos!$B$6:$D$35,3,FALSE)</f>
        <v>AUDIO</v>
      </c>
      <c r="G6" s="7">
        <v>3</v>
      </c>
      <c r="H6" s="19">
        <f>VLOOKUP(D6,Productos!$B$6:$E$35,4,FALSE)</f>
        <v>160000</v>
      </c>
      <c r="I6" s="19">
        <f>H6*G6</f>
        <v>480000</v>
      </c>
      <c r="J6" s="20" t="s">
        <v>201</v>
      </c>
      <c r="L6" s="2"/>
    </row>
    <row r="7" spans="2:12" x14ac:dyDescent="0.25">
      <c r="B7" s="21">
        <v>46268</v>
      </c>
      <c r="C7" s="10" t="s">
        <v>51</v>
      </c>
      <c r="D7" s="10">
        <v>21</v>
      </c>
      <c r="E7" s="10" t="str">
        <f>VLOOKUP(D7,Productos!$B$6:$C$35,2,FALSE)</f>
        <v>MONITOR 22'</v>
      </c>
      <c r="F7" s="10" t="str">
        <f>VLOOKUP(D7,Productos!$B$6:$D$35,3,FALSE)</f>
        <v>MONITORES</v>
      </c>
      <c r="G7" s="10">
        <v>5</v>
      </c>
      <c r="H7" s="22">
        <f>VLOOKUP(D7,Productos!$B$6:$E$35,4,FALSE)</f>
        <v>520000</v>
      </c>
      <c r="I7" s="22">
        <f t="shared" ref="I7:I70" si="0">H7*G7</f>
        <v>2600000</v>
      </c>
      <c r="J7" s="23" t="s">
        <v>203</v>
      </c>
      <c r="L7" s="2"/>
    </row>
    <row r="8" spans="2:12" x14ac:dyDescent="0.25">
      <c r="B8" s="24">
        <v>46270</v>
      </c>
      <c r="C8" s="13" t="s">
        <v>52</v>
      </c>
      <c r="D8" s="13">
        <v>15</v>
      </c>
      <c r="E8" s="13" t="str">
        <f>VLOOKUP(D8,Productos!$B$6:$C$35,2,FALSE)</f>
        <v>CABLE USB-C</v>
      </c>
      <c r="F8" s="13" t="str">
        <f>VLOOKUP(D8,Productos!$B$6:$D$35,3,FALSE)</f>
        <v>CABLES</v>
      </c>
      <c r="G8" s="13">
        <v>3</v>
      </c>
      <c r="H8" s="25">
        <f>VLOOKUP(D8,Productos!$B$6:$E$35,4,FALSE)</f>
        <v>30000</v>
      </c>
      <c r="I8" s="25">
        <f t="shared" si="0"/>
        <v>90000</v>
      </c>
      <c r="J8" s="26" t="s">
        <v>202</v>
      </c>
      <c r="L8" s="2"/>
    </row>
    <row r="9" spans="2:12" x14ac:dyDescent="0.25">
      <c r="B9" s="21">
        <v>46270</v>
      </c>
      <c r="C9" s="10" t="s">
        <v>53</v>
      </c>
      <c r="D9" s="10">
        <v>30</v>
      </c>
      <c r="E9" s="10" t="str">
        <f>VLOOKUP(D9,Productos!$B$6:$C$35,2,FALSE)</f>
        <v>VIDRIO TEMPLADO</v>
      </c>
      <c r="F9" s="10" t="str">
        <f>VLOOKUP(D9,Productos!$B$6:$D$35,3,FALSE)</f>
        <v>ACCESORIOS MOVIL</v>
      </c>
      <c r="G9" s="10">
        <v>1</v>
      </c>
      <c r="H9" s="22">
        <f>VLOOKUP(D9,Productos!$B$6:$E$35,4,FALSE)</f>
        <v>20000</v>
      </c>
      <c r="I9" s="22">
        <f t="shared" si="0"/>
        <v>20000</v>
      </c>
      <c r="J9" s="23" t="s">
        <v>201</v>
      </c>
      <c r="L9" s="2"/>
    </row>
    <row r="10" spans="2:12" x14ac:dyDescent="0.25">
      <c r="B10" s="24">
        <v>46272</v>
      </c>
      <c r="C10" s="13" t="s">
        <v>54</v>
      </c>
      <c r="D10" s="13">
        <v>8</v>
      </c>
      <c r="E10" s="13" t="str">
        <f>VLOOKUP(D10,Productos!$B$6:$C$35,2,FALSE)</f>
        <v>PARLANTE BLUETOOTH</v>
      </c>
      <c r="F10" s="13" t="str">
        <f>VLOOKUP(D10,Productos!$B$6:$D$35,3,FALSE)</f>
        <v>AUDIO</v>
      </c>
      <c r="G10" s="13">
        <v>1</v>
      </c>
      <c r="H10" s="25">
        <f>VLOOKUP(D10,Productos!$B$6:$E$35,4,FALSE)</f>
        <v>160000</v>
      </c>
      <c r="I10" s="25">
        <f t="shared" si="0"/>
        <v>160000</v>
      </c>
      <c r="J10" s="26" t="s">
        <v>202</v>
      </c>
      <c r="L10" s="2"/>
    </row>
    <row r="11" spans="2:12" x14ac:dyDescent="0.25">
      <c r="B11" s="21">
        <v>46272</v>
      </c>
      <c r="C11" s="10" t="s">
        <v>55</v>
      </c>
      <c r="D11" s="10">
        <v>7</v>
      </c>
      <c r="E11" s="10" t="str">
        <f>VLOOKUP(D11,Productos!$B$6:$C$35,2,FALSE)</f>
        <v>DIADEMA GAMER</v>
      </c>
      <c r="F11" s="10" t="str">
        <f>VLOOKUP(D11,Productos!$B$6:$D$35,3,FALSE)</f>
        <v>AUDIO</v>
      </c>
      <c r="G11" s="10">
        <v>2</v>
      </c>
      <c r="H11" s="22">
        <f>VLOOKUP(D11,Productos!$B$6:$E$35,4,FALSE)</f>
        <v>180000</v>
      </c>
      <c r="I11" s="22">
        <f t="shared" si="0"/>
        <v>360000</v>
      </c>
      <c r="J11" s="23" t="s">
        <v>201</v>
      </c>
      <c r="L11" s="2"/>
    </row>
    <row r="12" spans="2:12" x14ac:dyDescent="0.25">
      <c r="B12" s="24">
        <v>46274</v>
      </c>
      <c r="C12" s="13" t="s">
        <v>56</v>
      </c>
      <c r="D12" s="13">
        <v>26</v>
      </c>
      <c r="E12" s="13" t="str">
        <f>VLOOKUP(D12,Productos!$B$6:$C$35,2,FALSE)</f>
        <v>SMARTWATCH BASICO</v>
      </c>
      <c r="F12" s="13" t="str">
        <f>VLOOKUP(D12,Productos!$B$6:$D$35,3,FALSE)</f>
        <v>WEARABLES</v>
      </c>
      <c r="G12" s="13">
        <v>4</v>
      </c>
      <c r="H12" s="25">
        <f>VLOOKUP(D12,Productos!$B$6:$E$35,4,FALSE)</f>
        <v>180000</v>
      </c>
      <c r="I12" s="25">
        <f t="shared" si="0"/>
        <v>720000</v>
      </c>
      <c r="J12" s="26" t="s">
        <v>201</v>
      </c>
      <c r="L12" s="2"/>
    </row>
    <row r="13" spans="2:12" x14ac:dyDescent="0.25">
      <c r="B13" s="21">
        <v>46274</v>
      </c>
      <c r="C13" s="10" t="s">
        <v>57</v>
      </c>
      <c r="D13" s="10">
        <v>25</v>
      </c>
      <c r="E13" s="10" t="str">
        <f>VLOOKUP(D13,Productos!$B$6:$C$35,2,FALSE)</f>
        <v>PROTECTOR DE VOLTAJE</v>
      </c>
      <c r="F13" s="10" t="str">
        <f>VLOOKUP(D13,Productos!$B$6:$D$35,3,FALSE)</f>
        <v>ENERGIA</v>
      </c>
      <c r="G13" s="10">
        <v>5</v>
      </c>
      <c r="H13" s="22">
        <f>VLOOKUP(D13,Productos!$B$6:$E$35,4,FALSE)</f>
        <v>80000</v>
      </c>
      <c r="I13" s="22">
        <f t="shared" si="0"/>
        <v>400000</v>
      </c>
      <c r="J13" s="23" t="s">
        <v>204</v>
      </c>
      <c r="L13" s="2"/>
    </row>
    <row r="14" spans="2:12" x14ac:dyDescent="0.25">
      <c r="B14" s="24">
        <v>46275</v>
      </c>
      <c r="C14" s="13" t="s">
        <v>58</v>
      </c>
      <c r="D14" s="13">
        <v>23</v>
      </c>
      <c r="E14" s="13" t="str">
        <f>VLOOKUP(D14,Productos!$B$6:$C$35,2,FALSE)</f>
        <v>TINTA GENERICA</v>
      </c>
      <c r="F14" s="13" t="str">
        <f>VLOOKUP(D14,Productos!$B$6:$D$35,3,FALSE)</f>
        <v>HOGAR/OFICINA</v>
      </c>
      <c r="G14" s="13">
        <v>5</v>
      </c>
      <c r="H14" s="25">
        <f>VLOOKUP(D14,Productos!$B$6:$E$35,4,FALSE)</f>
        <v>90000</v>
      </c>
      <c r="I14" s="25">
        <f t="shared" si="0"/>
        <v>450000</v>
      </c>
      <c r="J14" s="26" t="s">
        <v>203</v>
      </c>
      <c r="L14" s="2"/>
    </row>
    <row r="15" spans="2:12" x14ac:dyDescent="0.25">
      <c r="B15" s="21">
        <v>46277</v>
      </c>
      <c r="C15" s="10" t="s">
        <v>59</v>
      </c>
      <c r="D15" s="10">
        <v>12</v>
      </c>
      <c r="E15" s="10" t="str">
        <f>VLOOKUP(D15,Productos!$B$6:$C$35,2,FALSE)</f>
        <v>DISCO SSD 1TB</v>
      </c>
      <c r="F15" s="10" t="str">
        <f>VLOOKUP(D15,Productos!$B$6:$D$35,3,FALSE)</f>
        <v>ALMACENAMIENTO</v>
      </c>
      <c r="G15" s="10">
        <v>5</v>
      </c>
      <c r="H15" s="22">
        <f>VLOOKUP(D15,Productos!$B$6:$E$35,4,FALSE)</f>
        <v>230000</v>
      </c>
      <c r="I15" s="22">
        <f t="shared" si="0"/>
        <v>1150000</v>
      </c>
      <c r="J15" s="23" t="s">
        <v>202</v>
      </c>
      <c r="L15" s="2"/>
    </row>
    <row r="16" spans="2:12" x14ac:dyDescent="0.25">
      <c r="B16" s="24">
        <v>46278</v>
      </c>
      <c r="C16" s="13" t="s">
        <v>60</v>
      </c>
      <c r="D16" s="13">
        <v>8</v>
      </c>
      <c r="E16" s="13" t="str">
        <f>VLOOKUP(D16,Productos!$B$6:$C$35,2,FALSE)</f>
        <v>PARLANTE BLUETOOTH</v>
      </c>
      <c r="F16" s="13" t="str">
        <f>VLOOKUP(D16,Productos!$B$6:$D$35,3,FALSE)</f>
        <v>AUDIO</v>
      </c>
      <c r="G16" s="13">
        <v>2</v>
      </c>
      <c r="H16" s="25">
        <f>VLOOKUP(D16,Productos!$B$6:$E$35,4,FALSE)</f>
        <v>160000</v>
      </c>
      <c r="I16" s="25">
        <f t="shared" si="0"/>
        <v>320000</v>
      </c>
      <c r="J16" s="26" t="s">
        <v>201</v>
      </c>
      <c r="L16" s="2"/>
    </row>
    <row r="17" spans="2:12" x14ac:dyDescent="0.25">
      <c r="B17" s="21">
        <v>46278</v>
      </c>
      <c r="C17" s="10" t="s">
        <v>61</v>
      </c>
      <c r="D17" s="10">
        <v>26</v>
      </c>
      <c r="E17" s="10" t="str">
        <f>VLOOKUP(D17,Productos!$B$6:$C$35,2,FALSE)</f>
        <v>SMARTWATCH BASICO</v>
      </c>
      <c r="F17" s="10" t="str">
        <f>VLOOKUP(D17,Productos!$B$6:$D$35,3,FALSE)</f>
        <v>WEARABLES</v>
      </c>
      <c r="G17" s="10">
        <v>5</v>
      </c>
      <c r="H17" s="22">
        <f>VLOOKUP(D17,Productos!$B$6:$E$35,4,FALSE)</f>
        <v>180000</v>
      </c>
      <c r="I17" s="22">
        <f t="shared" si="0"/>
        <v>900000</v>
      </c>
      <c r="J17" s="23" t="s">
        <v>204</v>
      </c>
      <c r="L17" s="2"/>
    </row>
    <row r="18" spans="2:12" x14ac:dyDescent="0.25">
      <c r="B18" s="24">
        <v>46279</v>
      </c>
      <c r="C18" s="13" t="s">
        <v>62</v>
      </c>
      <c r="D18" s="13">
        <v>18</v>
      </c>
      <c r="E18" s="13" t="str">
        <f>VLOOKUP(D18,Productos!$B$6:$C$35,2,FALSE)</f>
        <v>CARGADOR RAPIDO USB-C</v>
      </c>
      <c r="F18" s="13" t="str">
        <f>VLOOKUP(D18,Productos!$B$6:$D$35,3,FALSE)</f>
        <v>ENERGIA</v>
      </c>
      <c r="G18" s="13">
        <v>4</v>
      </c>
      <c r="H18" s="25">
        <f>VLOOKUP(D18,Productos!$B$6:$E$35,4,FALSE)</f>
        <v>65000</v>
      </c>
      <c r="I18" s="25">
        <f t="shared" si="0"/>
        <v>260000</v>
      </c>
      <c r="J18" s="26" t="s">
        <v>203</v>
      </c>
      <c r="L18" s="2"/>
    </row>
    <row r="19" spans="2:12" x14ac:dyDescent="0.25">
      <c r="B19" s="21">
        <v>46281</v>
      </c>
      <c r="C19" s="10" t="s">
        <v>63</v>
      </c>
      <c r="D19" s="10">
        <v>22</v>
      </c>
      <c r="E19" s="10" t="str">
        <f>VLOOKUP(D19,Productos!$B$6:$C$35,2,FALSE)</f>
        <v>IMPRESORA BASICA</v>
      </c>
      <c r="F19" s="10" t="str">
        <f>VLOOKUP(D19,Productos!$B$6:$D$35,3,FALSE)</f>
        <v>HOGAR/OFICINA</v>
      </c>
      <c r="G19" s="10">
        <v>3</v>
      </c>
      <c r="H19" s="22">
        <f>VLOOKUP(D19,Productos!$B$6:$E$35,4,FALSE)</f>
        <v>480000</v>
      </c>
      <c r="I19" s="22">
        <f t="shared" si="0"/>
        <v>1440000</v>
      </c>
      <c r="J19" s="23" t="s">
        <v>201</v>
      </c>
      <c r="L19" s="2"/>
    </row>
    <row r="20" spans="2:12" x14ac:dyDescent="0.25">
      <c r="B20" s="24">
        <v>46283</v>
      </c>
      <c r="C20" s="13" t="s">
        <v>64</v>
      </c>
      <c r="D20" s="13">
        <v>13</v>
      </c>
      <c r="E20" s="13" t="str">
        <f>VLOOKUP(D20,Productos!$B$6:$C$35,2,FALSE)</f>
        <v>ROUTER WIFI BASICO</v>
      </c>
      <c r="F20" s="13" t="str">
        <f>VLOOKUP(D20,Productos!$B$6:$D$35,3,FALSE)</f>
        <v>REDES</v>
      </c>
      <c r="G20" s="13">
        <v>2</v>
      </c>
      <c r="H20" s="25">
        <f>VLOOKUP(D20,Productos!$B$6:$E$35,4,FALSE)</f>
        <v>123000</v>
      </c>
      <c r="I20" s="25">
        <f t="shared" si="0"/>
        <v>246000</v>
      </c>
      <c r="J20" s="26" t="s">
        <v>203</v>
      </c>
      <c r="L20" s="2"/>
    </row>
    <row r="21" spans="2:12" x14ac:dyDescent="0.25">
      <c r="B21" s="21">
        <v>46284</v>
      </c>
      <c r="C21" s="10" t="s">
        <v>65</v>
      </c>
      <c r="D21" s="10">
        <v>29</v>
      </c>
      <c r="E21" s="10" t="str">
        <f>VLOOKUP(D21,Productos!$B$6:$C$35,2,FALSE)</f>
        <v>FUNDA PARA CELULAR</v>
      </c>
      <c r="F21" s="10" t="str">
        <f>VLOOKUP(D21,Productos!$B$6:$D$35,3,FALSE)</f>
        <v>ACCESORIOS MOVIL</v>
      </c>
      <c r="G21" s="10">
        <v>5</v>
      </c>
      <c r="H21" s="22">
        <f>VLOOKUP(D21,Productos!$B$6:$E$35,4,FALSE)</f>
        <v>30000</v>
      </c>
      <c r="I21" s="22">
        <f t="shared" si="0"/>
        <v>150000</v>
      </c>
      <c r="J21" s="23" t="s">
        <v>201</v>
      </c>
      <c r="L21" s="2"/>
    </row>
    <row r="22" spans="2:12" x14ac:dyDescent="0.25">
      <c r="B22" s="24">
        <v>46284</v>
      </c>
      <c r="C22" s="13" t="s">
        <v>66</v>
      </c>
      <c r="D22" s="13">
        <v>5</v>
      </c>
      <c r="E22" s="13" t="str">
        <f>VLOOKUP(D22,Productos!$B$6:$C$35,2,FALSE)</f>
        <v>AUDIFONOS ALAMBRICOS</v>
      </c>
      <c r="F22" s="13" t="str">
        <f>VLOOKUP(D22,Productos!$B$6:$D$35,3,FALSE)</f>
        <v>AUDIO</v>
      </c>
      <c r="G22" s="13">
        <v>4</v>
      </c>
      <c r="H22" s="25">
        <f>VLOOKUP(D22,Productos!$B$6:$E$35,4,FALSE)</f>
        <v>35000</v>
      </c>
      <c r="I22" s="25">
        <f t="shared" si="0"/>
        <v>140000</v>
      </c>
      <c r="J22" s="26" t="s">
        <v>202</v>
      </c>
      <c r="L22" s="2"/>
    </row>
    <row r="23" spans="2:12" x14ac:dyDescent="0.25">
      <c r="B23" s="21">
        <v>46286</v>
      </c>
      <c r="C23" s="10" t="s">
        <v>67</v>
      </c>
      <c r="D23" s="10">
        <v>5</v>
      </c>
      <c r="E23" s="10" t="str">
        <f>VLOOKUP(D23,Productos!$B$6:$C$35,2,FALSE)</f>
        <v>AUDIFONOS ALAMBRICOS</v>
      </c>
      <c r="F23" s="10" t="str">
        <f>VLOOKUP(D23,Productos!$B$6:$D$35,3,FALSE)</f>
        <v>AUDIO</v>
      </c>
      <c r="G23" s="10">
        <v>1</v>
      </c>
      <c r="H23" s="22">
        <f>VLOOKUP(D23,Productos!$B$6:$E$35,4,FALSE)</f>
        <v>35000</v>
      </c>
      <c r="I23" s="22">
        <f t="shared" si="0"/>
        <v>35000</v>
      </c>
      <c r="J23" s="23" t="s">
        <v>203</v>
      </c>
      <c r="L23" s="2"/>
    </row>
    <row r="24" spans="2:12" x14ac:dyDescent="0.25">
      <c r="B24" s="24">
        <v>46288</v>
      </c>
      <c r="C24" s="13" t="s">
        <v>68</v>
      </c>
      <c r="D24" s="13">
        <v>27</v>
      </c>
      <c r="E24" s="13" t="str">
        <f>VLOOKUP(D24,Productos!$B$6:$C$35,2,FALSE)</f>
        <v>BANDA FITNESS</v>
      </c>
      <c r="F24" s="13" t="str">
        <f>VLOOKUP(D24,Productos!$B$6:$D$35,3,FALSE)</f>
        <v>WEARABLES</v>
      </c>
      <c r="G24" s="13">
        <v>3</v>
      </c>
      <c r="H24" s="25">
        <f>VLOOKUP(D24,Productos!$B$6:$E$35,4,FALSE)</f>
        <v>120000</v>
      </c>
      <c r="I24" s="25">
        <f t="shared" si="0"/>
        <v>360000</v>
      </c>
      <c r="J24" s="26" t="s">
        <v>202</v>
      </c>
      <c r="L24" s="2"/>
    </row>
    <row r="25" spans="2:12" x14ac:dyDescent="0.25">
      <c r="B25" s="21">
        <v>46288</v>
      </c>
      <c r="C25" s="10" t="s">
        <v>69</v>
      </c>
      <c r="D25" s="10">
        <v>1</v>
      </c>
      <c r="E25" s="10" t="str">
        <f>VLOOKUP(D25,Productos!$B$6:$C$35,2,FALSE)</f>
        <v>MOUSE INALAMBRICO</v>
      </c>
      <c r="F25" s="10" t="str">
        <f>VLOOKUP(D25,Productos!$B$6:$D$35,3,FALSE)</f>
        <v>ACCESORIOS PC</v>
      </c>
      <c r="G25" s="10">
        <v>3</v>
      </c>
      <c r="H25" s="22">
        <f>VLOOKUP(D25,Productos!$B$6:$E$35,4,FALSE)</f>
        <v>45000</v>
      </c>
      <c r="I25" s="22">
        <f t="shared" si="0"/>
        <v>135000</v>
      </c>
      <c r="J25" s="23" t="s">
        <v>204</v>
      </c>
      <c r="L25" s="2"/>
    </row>
    <row r="26" spans="2:12" x14ac:dyDescent="0.25">
      <c r="B26" s="24">
        <v>46290</v>
      </c>
      <c r="C26" s="13" t="s">
        <v>70</v>
      </c>
      <c r="D26" s="13">
        <v>15</v>
      </c>
      <c r="E26" s="13" t="str">
        <f>VLOOKUP(D26,Productos!$B$6:$C$35,2,FALSE)</f>
        <v>CABLE USB-C</v>
      </c>
      <c r="F26" s="13" t="str">
        <f>VLOOKUP(D26,Productos!$B$6:$D$35,3,FALSE)</f>
        <v>CABLES</v>
      </c>
      <c r="G26" s="13">
        <v>1</v>
      </c>
      <c r="H26" s="25">
        <f>VLOOKUP(D26,Productos!$B$6:$E$35,4,FALSE)</f>
        <v>30000</v>
      </c>
      <c r="I26" s="25">
        <f t="shared" si="0"/>
        <v>30000</v>
      </c>
      <c r="J26" s="26" t="s">
        <v>201</v>
      </c>
      <c r="L26" s="2"/>
    </row>
    <row r="27" spans="2:12" x14ac:dyDescent="0.25">
      <c r="B27" s="21">
        <v>46290</v>
      </c>
      <c r="C27" s="10" t="s">
        <v>71</v>
      </c>
      <c r="D27" s="10">
        <v>9</v>
      </c>
      <c r="E27" s="10" t="str">
        <f>VLOOKUP(D27,Productos!$B$6:$C$35,2,FALSE)</f>
        <v>MEMORIA USB 32GB</v>
      </c>
      <c r="F27" s="10" t="str">
        <f>VLOOKUP(D27,Productos!$B$6:$D$35,3,FALSE)</f>
        <v>ALMACENAMIENTO</v>
      </c>
      <c r="G27" s="10">
        <v>1</v>
      </c>
      <c r="H27" s="22">
        <f>VLOOKUP(D27,Productos!$B$6:$E$35,4,FALSE)</f>
        <v>35000</v>
      </c>
      <c r="I27" s="22">
        <f t="shared" si="0"/>
        <v>35000</v>
      </c>
      <c r="J27" s="23" t="s">
        <v>203</v>
      </c>
      <c r="L27" s="2"/>
    </row>
    <row r="28" spans="2:12" x14ac:dyDescent="0.25">
      <c r="B28" s="24">
        <v>46291</v>
      </c>
      <c r="C28" s="13" t="s">
        <v>72</v>
      </c>
      <c r="D28" s="13">
        <v>5</v>
      </c>
      <c r="E28" s="13" t="str">
        <f>VLOOKUP(D28,Productos!$B$6:$C$35,2,FALSE)</f>
        <v>AUDIFONOS ALAMBRICOS</v>
      </c>
      <c r="F28" s="13" t="str">
        <f>VLOOKUP(D28,Productos!$B$6:$D$35,3,FALSE)</f>
        <v>AUDIO</v>
      </c>
      <c r="G28" s="13">
        <v>4</v>
      </c>
      <c r="H28" s="25">
        <f>VLOOKUP(D28,Productos!$B$6:$E$35,4,FALSE)</f>
        <v>35000</v>
      </c>
      <c r="I28" s="25">
        <f t="shared" si="0"/>
        <v>140000</v>
      </c>
      <c r="J28" s="26" t="s">
        <v>203</v>
      </c>
      <c r="L28" s="2"/>
    </row>
    <row r="29" spans="2:12" x14ac:dyDescent="0.25">
      <c r="B29" s="21">
        <v>46292</v>
      </c>
      <c r="C29" s="10" t="s">
        <v>73</v>
      </c>
      <c r="D29" s="10">
        <v>8</v>
      </c>
      <c r="E29" s="10" t="str">
        <f>VLOOKUP(D29,Productos!$B$6:$C$35,2,FALSE)</f>
        <v>PARLANTE BLUETOOTH</v>
      </c>
      <c r="F29" s="10" t="str">
        <f>VLOOKUP(D29,Productos!$B$6:$D$35,3,FALSE)</f>
        <v>AUDIO</v>
      </c>
      <c r="G29" s="10">
        <v>4</v>
      </c>
      <c r="H29" s="22">
        <f>VLOOKUP(D29,Productos!$B$6:$E$35,4,FALSE)</f>
        <v>160000</v>
      </c>
      <c r="I29" s="22">
        <f t="shared" si="0"/>
        <v>640000</v>
      </c>
      <c r="J29" s="23" t="s">
        <v>202</v>
      </c>
      <c r="L29" s="2"/>
    </row>
    <row r="30" spans="2:12" x14ac:dyDescent="0.25">
      <c r="B30" s="24">
        <v>46294</v>
      </c>
      <c r="C30" s="13" t="s">
        <v>74</v>
      </c>
      <c r="D30" s="13">
        <v>24</v>
      </c>
      <c r="E30" s="13" t="str">
        <f>VLOOKUP(D30,Productos!$B$6:$C$35,2,FALSE)</f>
        <v xml:space="preserve">HUB USB 4 PUERTOS </v>
      </c>
      <c r="F30" s="13" t="str">
        <f>VLOOKUP(D30,Productos!$B$6:$D$35,3,FALSE)</f>
        <v>ACCESORIOS</v>
      </c>
      <c r="G30" s="13">
        <v>5</v>
      </c>
      <c r="H30" s="25">
        <f>VLOOKUP(D30,Productos!$B$6:$E$35,4,FALSE)</f>
        <v>55000</v>
      </c>
      <c r="I30" s="25">
        <f t="shared" si="0"/>
        <v>275000</v>
      </c>
      <c r="J30" s="26" t="s">
        <v>203</v>
      </c>
      <c r="L30" s="2"/>
    </row>
    <row r="31" spans="2:12" x14ac:dyDescent="0.25">
      <c r="B31" s="21">
        <v>46296</v>
      </c>
      <c r="C31" s="10" t="s">
        <v>75</v>
      </c>
      <c r="D31" s="10">
        <v>7</v>
      </c>
      <c r="E31" s="10" t="str">
        <f>VLOOKUP(D31,Productos!$B$6:$C$35,2,FALSE)</f>
        <v>DIADEMA GAMER</v>
      </c>
      <c r="F31" s="10" t="str">
        <f>VLOOKUP(D31,Productos!$B$6:$D$35,3,FALSE)</f>
        <v>AUDIO</v>
      </c>
      <c r="G31" s="10">
        <v>2</v>
      </c>
      <c r="H31" s="22">
        <f>VLOOKUP(D31,Productos!$B$6:$E$35,4,FALSE)</f>
        <v>180000</v>
      </c>
      <c r="I31" s="22">
        <f t="shared" si="0"/>
        <v>360000</v>
      </c>
      <c r="J31" s="23" t="s">
        <v>204</v>
      </c>
      <c r="L31" s="2"/>
    </row>
    <row r="32" spans="2:12" x14ac:dyDescent="0.25">
      <c r="B32" s="24">
        <v>46297</v>
      </c>
      <c r="C32" s="13" t="s">
        <v>76</v>
      </c>
      <c r="D32" s="13">
        <v>14</v>
      </c>
      <c r="E32" s="13" t="str">
        <f>VLOOKUP(D32,Productos!$B$6:$C$35,2,FALSE)</f>
        <v xml:space="preserve">CABLE HDMI 2MTS </v>
      </c>
      <c r="F32" s="13" t="str">
        <f>VLOOKUP(D32,Productos!$B$6:$D$35,3,FALSE)</f>
        <v>CABLES</v>
      </c>
      <c r="G32" s="13">
        <v>2</v>
      </c>
      <c r="H32" s="25">
        <f>VLOOKUP(D32,Productos!$B$6:$E$35,4,FALSE)</f>
        <v>25000</v>
      </c>
      <c r="I32" s="25">
        <f t="shared" si="0"/>
        <v>50000</v>
      </c>
      <c r="J32" s="26" t="s">
        <v>201</v>
      </c>
      <c r="L32" s="2"/>
    </row>
    <row r="33" spans="2:12" x14ac:dyDescent="0.25">
      <c r="B33" s="21">
        <v>46297</v>
      </c>
      <c r="C33" s="10" t="s">
        <v>77</v>
      </c>
      <c r="D33" s="10">
        <v>11</v>
      </c>
      <c r="E33" s="10" t="str">
        <f>VLOOKUP(D33,Productos!$B$6:$C$35,2,FALSE)</f>
        <v>DISCO SSD 480GB</v>
      </c>
      <c r="F33" s="10" t="str">
        <f>VLOOKUP(D33,Productos!$B$6:$D$35,3,FALSE)</f>
        <v>ALMACENAMIENTO</v>
      </c>
      <c r="G33" s="10">
        <v>5</v>
      </c>
      <c r="H33" s="22">
        <f>VLOOKUP(D33,Productos!$B$6:$E$35,4,FALSE)</f>
        <v>210000</v>
      </c>
      <c r="I33" s="22">
        <f t="shared" si="0"/>
        <v>1050000</v>
      </c>
      <c r="J33" s="23" t="s">
        <v>203</v>
      </c>
      <c r="L33" s="2"/>
    </row>
    <row r="34" spans="2:12" x14ac:dyDescent="0.25">
      <c r="B34" s="24">
        <v>46297</v>
      </c>
      <c r="C34" s="13" t="s">
        <v>78</v>
      </c>
      <c r="D34" s="13">
        <v>5</v>
      </c>
      <c r="E34" s="13" t="str">
        <f>VLOOKUP(D34,Productos!$B$6:$C$35,2,FALSE)</f>
        <v>AUDIFONOS ALAMBRICOS</v>
      </c>
      <c r="F34" s="13" t="str">
        <f>VLOOKUP(D34,Productos!$B$6:$D$35,3,FALSE)</f>
        <v>AUDIO</v>
      </c>
      <c r="G34" s="13">
        <v>2</v>
      </c>
      <c r="H34" s="25">
        <f>VLOOKUP(D34,Productos!$B$6:$E$35,4,FALSE)</f>
        <v>35000</v>
      </c>
      <c r="I34" s="25">
        <f t="shared" si="0"/>
        <v>70000</v>
      </c>
      <c r="J34" s="26" t="s">
        <v>201</v>
      </c>
      <c r="L34" s="2"/>
    </row>
    <row r="35" spans="2:12" x14ac:dyDescent="0.25">
      <c r="B35" s="21">
        <v>46299</v>
      </c>
      <c r="C35" s="10" t="s">
        <v>79</v>
      </c>
      <c r="D35" s="10">
        <v>5</v>
      </c>
      <c r="E35" s="10" t="str">
        <f>VLOOKUP(D35,Productos!$B$6:$C$35,2,FALSE)</f>
        <v>AUDIFONOS ALAMBRICOS</v>
      </c>
      <c r="F35" s="10" t="str">
        <f>VLOOKUP(D35,Productos!$B$6:$D$35,3,FALSE)</f>
        <v>AUDIO</v>
      </c>
      <c r="G35" s="10">
        <v>1</v>
      </c>
      <c r="H35" s="22">
        <f>VLOOKUP(D35,Productos!$B$6:$E$35,4,FALSE)</f>
        <v>35000</v>
      </c>
      <c r="I35" s="22">
        <f t="shared" si="0"/>
        <v>35000</v>
      </c>
      <c r="J35" s="23" t="s">
        <v>204</v>
      </c>
      <c r="L35" s="2"/>
    </row>
    <row r="36" spans="2:12" x14ac:dyDescent="0.25">
      <c r="B36" s="24">
        <v>46301</v>
      </c>
      <c r="C36" s="13" t="s">
        <v>80</v>
      </c>
      <c r="D36" s="13">
        <v>20</v>
      </c>
      <c r="E36" s="13" t="str">
        <f>VLOOKUP(D36,Productos!$B$6:$C$35,2,FALSE)</f>
        <v>WEBCAM HD</v>
      </c>
      <c r="F36" s="13" t="str">
        <f>VLOOKUP(D36,Productos!$B$6:$D$35,3,FALSE)</f>
        <v>CAMARA</v>
      </c>
      <c r="G36" s="13">
        <v>1</v>
      </c>
      <c r="H36" s="25">
        <f>VLOOKUP(D36,Productos!$B$6:$E$35,4,FALSE)</f>
        <v>120000</v>
      </c>
      <c r="I36" s="25">
        <f t="shared" si="0"/>
        <v>120000</v>
      </c>
      <c r="J36" s="26" t="s">
        <v>201</v>
      </c>
      <c r="L36" s="2"/>
    </row>
    <row r="37" spans="2:12" x14ac:dyDescent="0.25">
      <c r="B37" s="21">
        <v>46301</v>
      </c>
      <c r="C37" s="10" t="s">
        <v>81</v>
      </c>
      <c r="D37" s="10">
        <v>30</v>
      </c>
      <c r="E37" s="10" t="str">
        <f>VLOOKUP(D37,Productos!$B$6:$C$35,2,FALSE)</f>
        <v>VIDRIO TEMPLADO</v>
      </c>
      <c r="F37" s="10" t="str">
        <f>VLOOKUP(D37,Productos!$B$6:$D$35,3,FALSE)</f>
        <v>ACCESORIOS MOVIL</v>
      </c>
      <c r="G37" s="10">
        <v>2</v>
      </c>
      <c r="H37" s="22">
        <f>VLOOKUP(D37,Productos!$B$6:$E$35,4,FALSE)</f>
        <v>20000</v>
      </c>
      <c r="I37" s="22">
        <f t="shared" si="0"/>
        <v>40000</v>
      </c>
      <c r="J37" s="23" t="s">
        <v>201</v>
      </c>
      <c r="L37" s="2"/>
    </row>
    <row r="38" spans="2:12" x14ac:dyDescent="0.25">
      <c r="B38" s="24">
        <v>46301</v>
      </c>
      <c r="C38" s="13" t="s">
        <v>82</v>
      </c>
      <c r="D38" s="13">
        <v>10</v>
      </c>
      <c r="E38" s="13" t="str">
        <f>VLOOKUP(D38,Productos!$B$6:$C$35,2,FALSE)</f>
        <v>MEMORIA USB  64GB</v>
      </c>
      <c r="F38" s="13" t="str">
        <f>VLOOKUP(D38,Productos!$B$6:$D$35,3,FALSE)</f>
        <v>ALMACENAMIENTO</v>
      </c>
      <c r="G38" s="13">
        <v>3</v>
      </c>
      <c r="H38" s="25">
        <f>VLOOKUP(D38,Productos!$B$6:$E$35,4,FALSE)</f>
        <v>55000</v>
      </c>
      <c r="I38" s="25">
        <f t="shared" si="0"/>
        <v>165000</v>
      </c>
      <c r="J38" s="26" t="s">
        <v>201</v>
      </c>
      <c r="L38" s="2"/>
    </row>
    <row r="39" spans="2:12" x14ac:dyDescent="0.25">
      <c r="B39" s="21">
        <v>46302</v>
      </c>
      <c r="C39" s="10" t="s">
        <v>83</v>
      </c>
      <c r="D39" s="10">
        <v>11</v>
      </c>
      <c r="E39" s="10" t="str">
        <f>VLOOKUP(D39,Productos!$B$6:$C$35,2,FALSE)</f>
        <v>DISCO SSD 480GB</v>
      </c>
      <c r="F39" s="10" t="str">
        <f>VLOOKUP(D39,Productos!$B$6:$D$35,3,FALSE)</f>
        <v>ALMACENAMIENTO</v>
      </c>
      <c r="G39" s="10">
        <v>3</v>
      </c>
      <c r="H39" s="22">
        <f>VLOOKUP(D39,Productos!$B$6:$E$35,4,FALSE)</f>
        <v>210000</v>
      </c>
      <c r="I39" s="22">
        <f t="shared" si="0"/>
        <v>630000</v>
      </c>
      <c r="J39" s="23" t="s">
        <v>203</v>
      </c>
      <c r="L39" s="2"/>
    </row>
    <row r="40" spans="2:12" x14ac:dyDescent="0.25">
      <c r="B40" s="24">
        <v>46302</v>
      </c>
      <c r="C40" s="13" t="s">
        <v>84</v>
      </c>
      <c r="D40" s="13">
        <v>26</v>
      </c>
      <c r="E40" s="13" t="str">
        <f>VLOOKUP(D40,Productos!$B$6:$C$35,2,FALSE)</f>
        <v>SMARTWATCH BASICO</v>
      </c>
      <c r="F40" s="13" t="str">
        <f>VLOOKUP(D40,Productos!$B$6:$D$35,3,FALSE)</f>
        <v>WEARABLES</v>
      </c>
      <c r="G40" s="13">
        <v>5</v>
      </c>
      <c r="H40" s="25">
        <f>VLOOKUP(D40,Productos!$B$6:$E$35,4,FALSE)</f>
        <v>180000</v>
      </c>
      <c r="I40" s="25">
        <f t="shared" si="0"/>
        <v>900000</v>
      </c>
      <c r="J40" s="26" t="s">
        <v>204</v>
      </c>
      <c r="L40" s="2"/>
    </row>
    <row r="41" spans="2:12" x14ac:dyDescent="0.25">
      <c r="B41" s="21">
        <v>46304</v>
      </c>
      <c r="C41" s="10" t="s">
        <v>85</v>
      </c>
      <c r="D41" s="10">
        <v>9</v>
      </c>
      <c r="E41" s="10" t="str">
        <f>VLOOKUP(D41,Productos!$B$6:$C$35,2,FALSE)</f>
        <v>MEMORIA USB 32GB</v>
      </c>
      <c r="F41" s="10" t="str">
        <f>VLOOKUP(D41,Productos!$B$6:$D$35,3,FALSE)</f>
        <v>ALMACENAMIENTO</v>
      </c>
      <c r="G41" s="10">
        <v>2</v>
      </c>
      <c r="H41" s="22">
        <f>VLOOKUP(D41,Productos!$B$6:$E$35,4,FALSE)</f>
        <v>35000</v>
      </c>
      <c r="I41" s="22">
        <f t="shared" si="0"/>
        <v>70000</v>
      </c>
      <c r="J41" s="23" t="s">
        <v>202</v>
      </c>
      <c r="L41" s="2"/>
    </row>
    <row r="42" spans="2:12" x14ac:dyDescent="0.25">
      <c r="B42" s="24">
        <v>46304</v>
      </c>
      <c r="C42" s="13" t="s">
        <v>86</v>
      </c>
      <c r="D42" s="13">
        <v>10</v>
      </c>
      <c r="E42" s="13" t="str">
        <f>VLOOKUP(D42,Productos!$B$6:$C$35,2,FALSE)</f>
        <v>MEMORIA USB  64GB</v>
      </c>
      <c r="F42" s="13" t="str">
        <f>VLOOKUP(D42,Productos!$B$6:$D$35,3,FALSE)</f>
        <v>ALMACENAMIENTO</v>
      </c>
      <c r="G42" s="13">
        <v>1</v>
      </c>
      <c r="H42" s="25">
        <f>VLOOKUP(D42,Productos!$B$6:$E$35,4,FALSE)</f>
        <v>55000</v>
      </c>
      <c r="I42" s="25">
        <f t="shared" si="0"/>
        <v>55000</v>
      </c>
      <c r="J42" s="26" t="s">
        <v>201</v>
      </c>
      <c r="L42" s="2"/>
    </row>
    <row r="43" spans="2:12" x14ac:dyDescent="0.25">
      <c r="B43" s="21">
        <v>46305</v>
      </c>
      <c r="C43" s="10" t="s">
        <v>87</v>
      </c>
      <c r="D43" s="10">
        <v>29</v>
      </c>
      <c r="E43" s="10" t="str">
        <f>VLOOKUP(D43,Productos!$B$6:$C$35,2,FALSE)</f>
        <v>FUNDA PARA CELULAR</v>
      </c>
      <c r="F43" s="10" t="str">
        <f>VLOOKUP(D43,Productos!$B$6:$D$35,3,FALSE)</f>
        <v>ACCESORIOS MOVIL</v>
      </c>
      <c r="G43" s="10">
        <v>5</v>
      </c>
      <c r="H43" s="22">
        <f>VLOOKUP(D43,Productos!$B$6:$E$35,4,FALSE)</f>
        <v>30000</v>
      </c>
      <c r="I43" s="22">
        <f t="shared" si="0"/>
        <v>150000</v>
      </c>
      <c r="J43" s="23" t="s">
        <v>202</v>
      </c>
      <c r="L43" s="2"/>
    </row>
    <row r="44" spans="2:12" x14ac:dyDescent="0.25">
      <c r="B44" s="24">
        <v>46305</v>
      </c>
      <c r="C44" s="13" t="s">
        <v>88</v>
      </c>
      <c r="D44" s="13">
        <v>25</v>
      </c>
      <c r="E44" s="13" t="str">
        <f>VLOOKUP(D44,Productos!$B$6:$C$35,2,FALSE)</f>
        <v>PROTECTOR DE VOLTAJE</v>
      </c>
      <c r="F44" s="13" t="str">
        <f>VLOOKUP(D44,Productos!$B$6:$D$35,3,FALSE)</f>
        <v>ENERGIA</v>
      </c>
      <c r="G44" s="13">
        <v>3</v>
      </c>
      <c r="H44" s="25">
        <f>VLOOKUP(D44,Productos!$B$6:$E$35,4,FALSE)</f>
        <v>80000</v>
      </c>
      <c r="I44" s="25">
        <f t="shared" si="0"/>
        <v>240000</v>
      </c>
      <c r="J44" s="26" t="s">
        <v>204</v>
      </c>
      <c r="L44" s="2"/>
    </row>
    <row r="45" spans="2:12" x14ac:dyDescent="0.25">
      <c r="B45" s="21">
        <v>46306</v>
      </c>
      <c r="C45" s="10" t="s">
        <v>89</v>
      </c>
      <c r="D45" s="10">
        <v>27</v>
      </c>
      <c r="E45" s="10" t="str">
        <f>VLOOKUP(D45,Productos!$B$6:$C$35,2,FALSE)</f>
        <v>BANDA FITNESS</v>
      </c>
      <c r="F45" s="10" t="str">
        <f>VLOOKUP(D45,Productos!$B$6:$D$35,3,FALSE)</f>
        <v>WEARABLES</v>
      </c>
      <c r="G45" s="10">
        <v>1</v>
      </c>
      <c r="H45" s="22">
        <f>VLOOKUP(D45,Productos!$B$6:$E$35,4,FALSE)</f>
        <v>120000</v>
      </c>
      <c r="I45" s="22">
        <f t="shared" si="0"/>
        <v>120000</v>
      </c>
      <c r="J45" s="23" t="s">
        <v>203</v>
      </c>
      <c r="L45" s="2"/>
    </row>
    <row r="46" spans="2:12" x14ac:dyDescent="0.25">
      <c r="B46" s="24">
        <v>46306</v>
      </c>
      <c r="C46" s="13" t="s">
        <v>90</v>
      </c>
      <c r="D46" s="13">
        <v>30</v>
      </c>
      <c r="E46" s="13" t="str">
        <f>VLOOKUP(D46,Productos!$B$6:$C$35,2,FALSE)</f>
        <v>VIDRIO TEMPLADO</v>
      </c>
      <c r="F46" s="13" t="str">
        <f>VLOOKUP(D46,Productos!$B$6:$D$35,3,FALSE)</f>
        <v>ACCESORIOS MOVIL</v>
      </c>
      <c r="G46" s="13">
        <v>2</v>
      </c>
      <c r="H46" s="25">
        <f>VLOOKUP(D46,Productos!$B$6:$E$35,4,FALSE)</f>
        <v>20000</v>
      </c>
      <c r="I46" s="25">
        <f t="shared" si="0"/>
        <v>40000</v>
      </c>
      <c r="J46" s="26" t="s">
        <v>202</v>
      </c>
      <c r="L46" s="2"/>
    </row>
    <row r="47" spans="2:12" x14ac:dyDescent="0.25">
      <c r="B47" s="21">
        <v>46306</v>
      </c>
      <c r="C47" s="10" t="s">
        <v>91</v>
      </c>
      <c r="D47" s="10">
        <v>14</v>
      </c>
      <c r="E47" s="10" t="str">
        <f>VLOOKUP(D47,Productos!$B$6:$C$35,2,FALSE)</f>
        <v xml:space="preserve">CABLE HDMI 2MTS </v>
      </c>
      <c r="F47" s="10" t="str">
        <f>VLOOKUP(D47,Productos!$B$6:$D$35,3,FALSE)</f>
        <v>CABLES</v>
      </c>
      <c r="G47" s="10">
        <v>4</v>
      </c>
      <c r="H47" s="22">
        <f>VLOOKUP(D47,Productos!$B$6:$E$35,4,FALSE)</f>
        <v>25000</v>
      </c>
      <c r="I47" s="22">
        <f t="shared" si="0"/>
        <v>100000</v>
      </c>
      <c r="J47" s="23" t="s">
        <v>204</v>
      </c>
      <c r="L47" s="2"/>
    </row>
    <row r="48" spans="2:12" x14ac:dyDescent="0.25">
      <c r="B48" s="24">
        <v>46307</v>
      </c>
      <c r="C48" s="13" t="s">
        <v>92</v>
      </c>
      <c r="D48" s="13">
        <v>26</v>
      </c>
      <c r="E48" s="13" t="str">
        <f>VLOOKUP(D48,Productos!$B$6:$C$35,2,FALSE)</f>
        <v>SMARTWATCH BASICO</v>
      </c>
      <c r="F48" s="13" t="str">
        <f>VLOOKUP(D48,Productos!$B$6:$D$35,3,FALSE)</f>
        <v>WEARABLES</v>
      </c>
      <c r="G48" s="13">
        <v>4</v>
      </c>
      <c r="H48" s="25">
        <f>VLOOKUP(D48,Productos!$B$6:$E$35,4,FALSE)</f>
        <v>180000</v>
      </c>
      <c r="I48" s="25">
        <f t="shared" si="0"/>
        <v>720000</v>
      </c>
      <c r="J48" s="26" t="s">
        <v>203</v>
      </c>
      <c r="L48" s="2"/>
    </row>
    <row r="49" spans="2:12" x14ac:dyDescent="0.25">
      <c r="B49" s="21">
        <v>46307</v>
      </c>
      <c r="C49" s="10" t="s">
        <v>93</v>
      </c>
      <c r="D49" s="10">
        <v>20</v>
      </c>
      <c r="E49" s="10" t="str">
        <f>VLOOKUP(D49,Productos!$B$6:$C$35,2,FALSE)</f>
        <v>WEBCAM HD</v>
      </c>
      <c r="F49" s="10" t="str">
        <f>VLOOKUP(D49,Productos!$B$6:$D$35,3,FALSE)</f>
        <v>CAMARA</v>
      </c>
      <c r="G49" s="10">
        <v>1</v>
      </c>
      <c r="H49" s="22">
        <f>VLOOKUP(D49,Productos!$B$6:$E$35,4,FALSE)</f>
        <v>120000</v>
      </c>
      <c r="I49" s="22">
        <f t="shared" si="0"/>
        <v>120000</v>
      </c>
      <c r="J49" s="23" t="s">
        <v>202</v>
      </c>
      <c r="L49" s="2"/>
    </row>
    <row r="50" spans="2:12" x14ac:dyDescent="0.25">
      <c r="B50" s="24">
        <v>46309</v>
      </c>
      <c r="C50" s="13" t="s">
        <v>94</v>
      </c>
      <c r="D50" s="13">
        <v>17</v>
      </c>
      <c r="E50" s="13" t="str">
        <f>VLOOKUP(D50,Productos!$B$6:$C$35,2,FALSE)</f>
        <v xml:space="preserve">EXTENSOR WIFI </v>
      </c>
      <c r="F50" s="13" t="str">
        <f>VLOOKUP(D50,Productos!$B$6:$D$35,3,FALSE)</f>
        <v>REDES</v>
      </c>
      <c r="G50" s="13">
        <v>1</v>
      </c>
      <c r="H50" s="25">
        <f>VLOOKUP(D50,Productos!$B$6:$E$35,4,FALSE)</f>
        <v>150000</v>
      </c>
      <c r="I50" s="25">
        <f t="shared" si="0"/>
        <v>150000</v>
      </c>
      <c r="J50" s="26" t="s">
        <v>202</v>
      </c>
      <c r="L50" s="2"/>
    </row>
    <row r="51" spans="2:12" x14ac:dyDescent="0.25">
      <c r="B51" s="21">
        <v>46310</v>
      </c>
      <c r="C51" s="10" t="s">
        <v>95</v>
      </c>
      <c r="D51" s="10">
        <v>2</v>
      </c>
      <c r="E51" s="10" t="str">
        <f>VLOOKUP(D51,Productos!$B$6:$C$35,2,FALSE)</f>
        <v>MOUSE GAMER</v>
      </c>
      <c r="F51" s="10" t="str">
        <f>VLOOKUP(D51,Productos!$B$6:$D$35,3,FALSE)</f>
        <v>ACCESORIOS PC</v>
      </c>
      <c r="G51" s="10">
        <v>3</v>
      </c>
      <c r="H51" s="22">
        <f>VLOOKUP(D51,Productos!$B$6:$E$35,4,FALSE)</f>
        <v>90000</v>
      </c>
      <c r="I51" s="22">
        <f t="shared" si="0"/>
        <v>270000</v>
      </c>
      <c r="J51" s="23" t="s">
        <v>201</v>
      </c>
      <c r="L51" s="2"/>
    </row>
    <row r="52" spans="2:12" x14ac:dyDescent="0.25">
      <c r="B52" s="24">
        <v>46311</v>
      </c>
      <c r="C52" s="13" t="s">
        <v>96</v>
      </c>
      <c r="D52" s="13">
        <v>13</v>
      </c>
      <c r="E52" s="13" t="str">
        <f>VLOOKUP(D52,Productos!$B$6:$C$35,2,FALSE)</f>
        <v>ROUTER WIFI BASICO</v>
      </c>
      <c r="F52" s="13" t="str">
        <f>VLOOKUP(D52,Productos!$B$6:$D$35,3,FALSE)</f>
        <v>REDES</v>
      </c>
      <c r="G52" s="13">
        <v>1</v>
      </c>
      <c r="H52" s="25">
        <f>VLOOKUP(D52,Productos!$B$6:$E$35,4,FALSE)</f>
        <v>123000</v>
      </c>
      <c r="I52" s="25">
        <f t="shared" si="0"/>
        <v>123000</v>
      </c>
      <c r="J52" s="26" t="s">
        <v>204</v>
      </c>
      <c r="L52" s="2"/>
    </row>
    <row r="53" spans="2:12" x14ac:dyDescent="0.25">
      <c r="B53" s="21">
        <v>46311</v>
      </c>
      <c r="C53" s="10" t="s">
        <v>97</v>
      </c>
      <c r="D53" s="10">
        <v>29</v>
      </c>
      <c r="E53" s="10" t="str">
        <f>VLOOKUP(D53,Productos!$B$6:$C$35,2,FALSE)</f>
        <v>FUNDA PARA CELULAR</v>
      </c>
      <c r="F53" s="10" t="str">
        <f>VLOOKUP(D53,Productos!$B$6:$D$35,3,FALSE)</f>
        <v>ACCESORIOS MOVIL</v>
      </c>
      <c r="G53" s="10">
        <v>5</v>
      </c>
      <c r="H53" s="22">
        <f>VLOOKUP(D53,Productos!$B$6:$E$35,4,FALSE)</f>
        <v>30000</v>
      </c>
      <c r="I53" s="22">
        <f t="shared" si="0"/>
        <v>150000</v>
      </c>
      <c r="J53" s="23" t="s">
        <v>203</v>
      </c>
      <c r="L53" s="2"/>
    </row>
    <row r="54" spans="2:12" x14ac:dyDescent="0.25">
      <c r="B54" s="24">
        <v>46311</v>
      </c>
      <c r="C54" s="13" t="s">
        <v>98</v>
      </c>
      <c r="D54" s="13">
        <v>10</v>
      </c>
      <c r="E54" s="13" t="str">
        <f>VLOOKUP(D54,Productos!$B$6:$C$35,2,FALSE)</f>
        <v>MEMORIA USB  64GB</v>
      </c>
      <c r="F54" s="13" t="str">
        <f>VLOOKUP(D54,Productos!$B$6:$D$35,3,FALSE)</f>
        <v>ALMACENAMIENTO</v>
      </c>
      <c r="G54" s="13">
        <v>4</v>
      </c>
      <c r="H54" s="25">
        <f>VLOOKUP(D54,Productos!$B$6:$E$35,4,FALSE)</f>
        <v>55000</v>
      </c>
      <c r="I54" s="25">
        <f t="shared" si="0"/>
        <v>220000</v>
      </c>
      <c r="J54" s="26" t="s">
        <v>203</v>
      </c>
      <c r="L54" s="2"/>
    </row>
    <row r="55" spans="2:12" x14ac:dyDescent="0.25">
      <c r="B55" s="21">
        <v>46312</v>
      </c>
      <c r="C55" s="10" t="s">
        <v>99</v>
      </c>
      <c r="D55" s="10">
        <v>17</v>
      </c>
      <c r="E55" s="10" t="str">
        <f>VLOOKUP(D55,Productos!$B$6:$C$35,2,FALSE)</f>
        <v xml:space="preserve">EXTENSOR WIFI </v>
      </c>
      <c r="F55" s="10" t="str">
        <f>VLOOKUP(D55,Productos!$B$6:$D$35,3,FALSE)</f>
        <v>REDES</v>
      </c>
      <c r="G55" s="10">
        <v>1</v>
      </c>
      <c r="H55" s="22">
        <f>VLOOKUP(D55,Productos!$B$6:$E$35,4,FALSE)</f>
        <v>150000</v>
      </c>
      <c r="I55" s="22">
        <f t="shared" si="0"/>
        <v>150000</v>
      </c>
      <c r="J55" s="23" t="s">
        <v>204</v>
      </c>
      <c r="L55" s="2"/>
    </row>
    <row r="56" spans="2:12" x14ac:dyDescent="0.25">
      <c r="B56" s="24">
        <v>46313</v>
      </c>
      <c r="C56" s="13" t="s">
        <v>100</v>
      </c>
      <c r="D56" s="13">
        <v>22</v>
      </c>
      <c r="E56" s="13" t="str">
        <f>VLOOKUP(D56,Productos!$B$6:$C$35,2,FALSE)</f>
        <v>IMPRESORA BASICA</v>
      </c>
      <c r="F56" s="13" t="str">
        <f>VLOOKUP(D56,Productos!$B$6:$D$35,3,FALSE)</f>
        <v>HOGAR/OFICINA</v>
      </c>
      <c r="G56" s="13">
        <v>5</v>
      </c>
      <c r="H56" s="25">
        <f>VLOOKUP(D56,Productos!$B$6:$E$35,4,FALSE)</f>
        <v>480000</v>
      </c>
      <c r="I56" s="25">
        <f t="shared" si="0"/>
        <v>2400000</v>
      </c>
      <c r="J56" s="26" t="s">
        <v>201</v>
      </c>
      <c r="L56" s="2"/>
    </row>
    <row r="57" spans="2:12" x14ac:dyDescent="0.25">
      <c r="B57" s="21">
        <v>46313</v>
      </c>
      <c r="C57" s="10" t="s">
        <v>101</v>
      </c>
      <c r="D57" s="10">
        <v>9</v>
      </c>
      <c r="E57" s="10" t="str">
        <f>VLOOKUP(D57,Productos!$B$6:$C$35,2,FALSE)</f>
        <v>MEMORIA USB 32GB</v>
      </c>
      <c r="F57" s="10" t="str">
        <f>VLOOKUP(D57,Productos!$B$6:$D$35,3,FALSE)</f>
        <v>ALMACENAMIENTO</v>
      </c>
      <c r="G57" s="10">
        <v>2</v>
      </c>
      <c r="H57" s="22">
        <f>VLOOKUP(D57,Productos!$B$6:$E$35,4,FALSE)</f>
        <v>35000</v>
      </c>
      <c r="I57" s="22">
        <f t="shared" si="0"/>
        <v>70000</v>
      </c>
      <c r="J57" s="23" t="s">
        <v>202</v>
      </c>
      <c r="L57" s="2"/>
    </row>
    <row r="58" spans="2:12" x14ac:dyDescent="0.25">
      <c r="B58" s="24">
        <v>46315</v>
      </c>
      <c r="C58" s="13" t="s">
        <v>102</v>
      </c>
      <c r="D58" s="13">
        <v>4</v>
      </c>
      <c r="E58" s="13" t="str">
        <f>VLOOKUP(D58,Productos!$B$6:$C$35,2,FALSE)</f>
        <v>TECLADO MECANICO</v>
      </c>
      <c r="F58" s="13" t="str">
        <f>VLOOKUP(D58,Productos!$B$6:$D$35,3,FALSE)</f>
        <v>ACCESORIOS PC</v>
      </c>
      <c r="G58" s="13">
        <v>3</v>
      </c>
      <c r="H58" s="25">
        <f>VLOOKUP(D58,Productos!$B$6:$E$35,4,FALSE)</f>
        <v>220000</v>
      </c>
      <c r="I58" s="25">
        <f t="shared" si="0"/>
        <v>660000</v>
      </c>
      <c r="J58" s="26" t="s">
        <v>204</v>
      </c>
      <c r="L58" s="2"/>
    </row>
    <row r="59" spans="2:12" x14ac:dyDescent="0.25">
      <c r="B59" s="21">
        <v>46315</v>
      </c>
      <c r="C59" s="10" t="s">
        <v>103</v>
      </c>
      <c r="D59" s="10">
        <v>3</v>
      </c>
      <c r="E59" s="10" t="str">
        <f>VLOOKUP(D59,Productos!$B$6:$C$35,2,FALSE)</f>
        <v>TECLADO ALAMBRICO</v>
      </c>
      <c r="F59" s="10" t="str">
        <f>VLOOKUP(D59,Productos!$B$6:$D$35,3,FALSE)</f>
        <v>ACCESORIOS PC</v>
      </c>
      <c r="G59" s="10">
        <v>4</v>
      </c>
      <c r="H59" s="22">
        <f>VLOOKUP(D59,Productos!$B$6:$E$35,4,FALSE)</f>
        <v>60000</v>
      </c>
      <c r="I59" s="22">
        <f t="shared" si="0"/>
        <v>240000</v>
      </c>
      <c r="J59" s="23" t="s">
        <v>201</v>
      </c>
      <c r="L59" s="2"/>
    </row>
    <row r="60" spans="2:12" x14ac:dyDescent="0.25">
      <c r="B60" s="24">
        <v>46317</v>
      </c>
      <c r="C60" s="13" t="s">
        <v>104</v>
      </c>
      <c r="D60" s="13">
        <v>14</v>
      </c>
      <c r="E60" s="13" t="str">
        <f>VLOOKUP(D60,Productos!$B$6:$C$35,2,FALSE)</f>
        <v xml:space="preserve">CABLE HDMI 2MTS </v>
      </c>
      <c r="F60" s="13" t="str">
        <f>VLOOKUP(D60,Productos!$B$6:$D$35,3,FALSE)</f>
        <v>CABLES</v>
      </c>
      <c r="G60" s="13">
        <v>2</v>
      </c>
      <c r="H60" s="25">
        <f>VLOOKUP(D60,Productos!$B$6:$E$35,4,FALSE)</f>
        <v>25000</v>
      </c>
      <c r="I60" s="25">
        <f t="shared" si="0"/>
        <v>50000</v>
      </c>
      <c r="J60" s="26" t="s">
        <v>203</v>
      </c>
      <c r="L60" s="2"/>
    </row>
    <row r="61" spans="2:12" x14ac:dyDescent="0.25">
      <c r="B61" s="21">
        <v>46319</v>
      </c>
      <c r="C61" s="10" t="s">
        <v>105</v>
      </c>
      <c r="D61" s="10">
        <v>2</v>
      </c>
      <c r="E61" s="10" t="str">
        <f>VLOOKUP(D61,Productos!$B$6:$C$35,2,FALSE)</f>
        <v>MOUSE GAMER</v>
      </c>
      <c r="F61" s="10" t="str">
        <f>VLOOKUP(D61,Productos!$B$6:$D$35,3,FALSE)</f>
        <v>ACCESORIOS PC</v>
      </c>
      <c r="G61" s="10">
        <v>1</v>
      </c>
      <c r="H61" s="22">
        <f>VLOOKUP(D61,Productos!$B$6:$E$35,4,FALSE)</f>
        <v>90000</v>
      </c>
      <c r="I61" s="22">
        <f t="shared" si="0"/>
        <v>90000</v>
      </c>
      <c r="J61" s="23" t="s">
        <v>201</v>
      </c>
      <c r="L61" s="2"/>
    </row>
    <row r="62" spans="2:12" x14ac:dyDescent="0.25">
      <c r="B62" s="24">
        <v>46321</v>
      </c>
      <c r="C62" s="13" t="s">
        <v>106</v>
      </c>
      <c r="D62" s="13">
        <v>22</v>
      </c>
      <c r="E62" s="13" t="str">
        <f>VLOOKUP(D62,Productos!$B$6:$C$35,2,FALSE)</f>
        <v>IMPRESORA BASICA</v>
      </c>
      <c r="F62" s="13" t="str">
        <f>VLOOKUP(D62,Productos!$B$6:$D$35,3,FALSE)</f>
        <v>HOGAR/OFICINA</v>
      </c>
      <c r="G62" s="13">
        <v>4</v>
      </c>
      <c r="H62" s="25">
        <f>VLOOKUP(D62,Productos!$B$6:$E$35,4,FALSE)</f>
        <v>480000</v>
      </c>
      <c r="I62" s="25">
        <f t="shared" si="0"/>
        <v>1920000</v>
      </c>
      <c r="J62" s="26" t="s">
        <v>202</v>
      </c>
      <c r="L62" s="2"/>
    </row>
    <row r="63" spans="2:12" x14ac:dyDescent="0.25">
      <c r="B63" s="21">
        <v>46323</v>
      </c>
      <c r="C63" s="10" t="s">
        <v>107</v>
      </c>
      <c r="D63" s="10">
        <v>26</v>
      </c>
      <c r="E63" s="10" t="str">
        <f>VLOOKUP(D63,Productos!$B$6:$C$35,2,FALSE)</f>
        <v>SMARTWATCH BASICO</v>
      </c>
      <c r="F63" s="10" t="str">
        <f>VLOOKUP(D63,Productos!$B$6:$D$35,3,FALSE)</f>
        <v>WEARABLES</v>
      </c>
      <c r="G63" s="10">
        <v>3</v>
      </c>
      <c r="H63" s="22">
        <f>VLOOKUP(D63,Productos!$B$6:$E$35,4,FALSE)</f>
        <v>180000</v>
      </c>
      <c r="I63" s="22">
        <f t="shared" si="0"/>
        <v>540000</v>
      </c>
      <c r="J63" s="23" t="s">
        <v>203</v>
      </c>
      <c r="L63" s="2"/>
    </row>
    <row r="64" spans="2:12" x14ac:dyDescent="0.25">
      <c r="B64" s="24">
        <v>46324</v>
      </c>
      <c r="C64" s="13" t="s">
        <v>108</v>
      </c>
      <c r="D64" s="13">
        <v>13</v>
      </c>
      <c r="E64" s="13" t="str">
        <f>VLOOKUP(D64,Productos!$B$6:$C$35,2,FALSE)</f>
        <v>ROUTER WIFI BASICO</v>
      </c>
      <c r="F64" s="13" t="str">
        <f>VLOOKUP(D64,Productos!$B$6:$D$35,3,FALSE)</f>
        <v>REDES</v>
      </c>
      <c r="G64" s="13">
        <v>1</v>
      </c>
      <c r="H64" s="25">
        <f>VLOOKUP(D64,Productos!$B$6:$E$35,4,FALSE)</f>
        <v>123000</v>
      </c>
      <c r="I64" s="25">
        <f t="shared" si="0"/>
        <v>123000</v>
      </c>
      <c r="J64" s="26" t="s">
        <v>203</v>
      </c>
      <c r="L64" s="2"/>
    </row>
    <row r="65" spans="2:12" x14ac:dyDescent="0.25">
      <c r="B65" s="21">
        <v>46324</v>
      </c>
      <c r="C65" s="10" t="s">
        <v>109</v>
      </c>
      <c r="D65" s="10">
        <v>27</v>
      </c>
      <c r="E65" s="10" t="str">
        <f>VLOOKUP(D65,Productos!$B$6:$C$35,2,FALSE)</f>
        <v>BANDA FITNESS</v>
      </c>
      <c r="F65" s="10" t="str">
        <f>VLOOKUP(D65,Productos!$B$6:$D$35,3,FALSE)</f>
        <v>WEARABLES</v>
      </c>
      <c r="G65" s="10">
        <v>1</v>
      </c>
      <c r="H65" s="22">
        <f>VLOOKUP(D65,Productos!$B$6:$E$35,4,FALSE)</f>
        <v>120000</v>
      </c>
      <c r="I65" s="22">
        <f t="shared" si="0"/>
        <v>120000</v>
      </c>
      <c r="J65" s="23" t="s">
        <v>204</v>
      </c>
      <c r="L65" s="2"/>
    </row>
    <row r="66" spans="2:12" x14ac:dyDescent="0.25">
      <c r="B66" s="24">
        <v>46326</v>
      </c>
      <c r="C66" s="13" t="s">
        <v>110</v>
      </c>
      <c r="D66" s="13">
        <v>22</v>
      </c>
      <c r="E66" s="13" t="str">
        <f>VLOOKUP(D66,Productos!$B$6:$C$35,2,FALSE)</f>
        <v>IMPRESORA BASICA</v>
      </c>
      <c r="F66" s="13" t="str">
        <f>VLOOKUP(D66,Productos!$B$6:$D$35,3,FALSE)</f>
        <v>HOGAR/OFICINA</v>
      </c>
      <c r="G66" s="13">
        <v>2</v>
      </c>
      <c r="H66" s="25">
        <f>VLOOKUP(D66,Productos!$B$6:$E$35,4,FALSE)</f>
        <v>480000</v>
      </c>
      <c r="I66" s="25">
        <f t="shared" si="0"/>
        <v>960000</v>
      </c>
      <c r="J66" s="26" t="s">
        <v>204</v>
      </c>
      <c r="L66" s="2"/>
    </row>
    <row r="67" spans="2:12" x14ac:dyDescent="0.25">
      <c r="B67" s="21">
        <v>46328</v>
      </c>
      <c r="C67" s="10" t="s">
        <v>111</v>
      </c>
      <c r="D67" s="10">
        <v>28</v>
      </c>
      <c r="E67" s="10" t="str">
        <f>VLOOKUP(D67,Productos!$B$6:$C$35,2,FALSE)</f>
        <v>SOPORTE PARA CELULAR</v>
      </c>
      <c r="F67" s="10" t="str">
        <f>VLOOKUP(D67,Productos!$B$6:$D$35,3,FALSE)</f>
        <v>ACCESORIOS MOVIL</v>
      </c>
      <c r="G67" s="10">
        <v>2</v>
      </c>
      <c r="H67" s="22">
        <f>VLOOKUP(D67,Productos!$B$6:$E$35,4,FALSE)</f>
        <v>25000</v>
      </c>
      <c r="I67" s="22">
        <f t="shared" si="0"/>
        <v>50000</v>
      </c>
      <c r="J67" s="23" t="s">
        <v>203</v>
      </c>
      <c r="L67" s="2"/>
    </row>
    <row r="68" spans="2:12" x14ac:dyDescent="0.25">
      <c r="B68" s="24">
        <v>46329</v>
      </c>
      <c r="C68" s="13" t="s">
        <v>112</v>
      </c>
      <c r="D68" s="13">
        <v>16</v>
      </c>
      <c r="E68" s="13" t="str">
        <f>VLOOKUP(D68,Productos!$B$6:$C$35,2,FALSE)</f>
        <v>POWER BANK 10000MAH</v>
      </c>
      <c r="F68" s="13" t="str">
        <f>VLOOKUP(D68,Productos!$B$6:$D$35,3,FALSE)</f>
        <v>ENERGIA</v>
      </c>
      <c r="G68" s="13">
        <v>2</v>
      </c>
      <c r="H68" s="25">
        <f>VLOOKUP(D68,Productos!$B$6:$E$35,4,FALSE)</f>
        <v>90000</v>
      </c>
      <c r="I68" s="25">
        <f t="shared" si="0"/>
        <v>180000</v>
      </c>
      <c r="J68" s="26" t="s">
        <v>203</v>
      </c>
      <c r="L68" s="2"/>
    </row>
    <row r="69" spans="2:12" x14ac:dyDescent="0.25">
      <c r="B69" s="21">
        <v>46331</v>
      </c>
      <c r="C69" s="10" t="s">
        <v>113</v>
      </c>
      <c r="D69" s="10">
        <v>16</v>
      </c>
      <c r="E69" s="10" t="str">
        <f>VLOOKUP(D69,Productos!$B$6:$C$35,2,FALSE)</f>
        <v>POWER BANK 10000MAH</v>
      </c>
      <c r="F69" s="10" t="str">
        <f>VLOOKUP(D69,Productos!$B$6:$D$35,3,FALSE)</f>
        <v>ENERGIA</v>
      </c>
      <c r="G69" s="10">
        <v>5</v>
      </c>
      <c r="H69" s="22">
        <f>VLOOKUP(D69,Productos!$B$6:$E$35,4,FALSE)</f>
        <v>90000</v>
      </c>
      <c r="I69" s="22">
        <f t="shared" si="0"/>
        <v>450000</v>
      </c>
      <c r="J69" s="23" t="s">
        <v>202</v>
      </c>
      <c r="L69" s="2"/>
    </row>
    <row r="70" spans="2:12" x14ac:dyDescent="0.25">
      <c r="B70" s="24">
        <v>46332</v>
      </c>
      <c r="C70" s="13" t="s">
        <v>114</v>
      </c>
      <c r="D70" s="13">
        <v>21</v>
      </c>
      <c r="E70" s="13" t="str">
        <f>VLOOKUP(D70,Productos!$B$6:$C$35,2,FALSE)</f>
        <v>MONITOR 22'</v>
      </c>
      <c r="F70" s="13" t="str">
        <f>VLOOKUP(D70,Productos!$B$6:$D$35,3,FALSE)</f>
        <v>MONITORES</v>
      </c>
      <c r="G70" s="13">
        <v>1</v>
      </c>
      <c r="H70" s="25">
        <f>VLOOKUP(D70,Productos!$B$6:$E$35,4,FALSE)</f>
        <v>520000</v>
      </c>
      <c r="I70" s="25">
        <f t="shared" si="0"/>
        <v>520000</v>
      </c>
      <c r="J70" s="26" t="s">
        <v>204</v>
      </c>
      <c r="L70" s="2"/>
    </row>
    <row r="71" spans="2:12" x14ac:dyDescent="0.25">
      <c r="B71" s="21">
        <v>46333</v>
      </c>
      <c r="C71" s="10" t="s">
        <v>115</v>
      </c>
      <c r="D71" s="10">
        <v>9</v>
      </c>
      <c r="E71" s="10" t="str">
        <f>VLOOKUP(D71,Productos!$B$6:$C$35,2,FALSE)</f>
        <v>MEMORIA USB 32GB</v>
      </c>
      <c r="F71" s="10" t="str">
        <f>VLOOKUP(D71,Productos!$B$6:$D$35,3,FALSE)</f>
        <v>ALMACENAMIENTO</v>
      </c>
      <c r="G71" s="10">
        <v>5</v>
      </c>
      <c r="H71" s="22">
        <f>VLOOKUP(D71,Productos!$B$6:$E$35,4,FALSE)</f>
        <v>35000</v>
      </c>
      <c r="I71" s="22">
        <f t="shared" ref="I71:I134" si="1">H71*G71</f>
        <v>175000</v>
      </c>
      <c r="J71" s="23" t="s">
        <v>203</v>
      </c>
      <c r="L71" s="2"/>
    </row>
    <row r="72" spans="2:12" x14ac:dyDescent="0.25">
      <c r="B72" s="24">
        <v>46334</v>
      </c>
      <c r="C72" s="13" t="s">
        <v>116</v>
      </c>
      <c r="D72" s="13">
        <v>11</v>
      </c>
      <c r="E72" s="13" t="str">
        <f>VLOOKUP(D72,Productos!$B$6:$C$35,2,FALSE)</f>
        <v>DISCO SSD 480GB</v>
      </c>
      <c r="F72" s="13" t="str">
        <f>VLOOKUP(D72,Productos!$B$6:$D$35,3,FALSE)</f>
        <v>ALMACENAMIENTO</v>
      </c>
      <c r="G72" s="13">
        <v>3</v>
      </c>
      <c r="H72" s="25">
        <f>VLOOKUP(D72,Productos!$B$6:$E$35,4,FALSE)</f>
        <v>210000</v>
      </c>
      <c r="I72" s="25">
        <f t="shared" si="1"/>
        <v>630000</v>
      </c>
      <c r="J72" s="26" t="s">
        <v>202</v>
      </c>
      <c r="L72" s="2"/>
    </row>
    <row r="73" spans="2:12" x14ac:dyDescent="0.25">
      <c r="B73" s="21">
        <v>46335</v>
      </c>
      <c r="C73" s="10" t="s">
        <v>117</v>
      </c>
      <c r="D73" s="10">
        <v>5</v>
      </c>
      <c r="E73" s="10" t="str">
        <f>VLOOKUP(D73,Productos!$B$6:$C$35,2,FALSE)</f>
        <v>AUDIFONOS ALAMBRICOS</v>
      </c>
      <c r="F73" s="10" t="str">
        <f>VLOOKUP(D73,Productos!$B$6:$D$35,3,FALSE)</f>
        <v>AUDIO</v>
      </c>
      <c r="G73" s="10">
        <v>2</v>
      </c>
      <c r="H73" s="22">
        <f>VLOOKUP(D73,Productos!$B$6:$E$35,4,FALSE)</f>
        <v>35000</v>
      </c>
      <c r="I73" s="22">
        <f t="shared" si="1"/>
        <v>70000</v>
      </c>
      <c r="J73" s="23" t="s">
        <v>201</v>
      </c>
      <c r="L73" s="2"/>
    </row>
    <row r="74" spans="2:12" x14ac:dyDescent="0.25">
      <c r="B74" s="24">
        <v>46336</v>
      </c>
      <c r="C74" s="13" t="s">
        <v>118</v>
      </c>
      <c r="D74" s="13">
        <v>22</v>
      </c>
      <c r="E74" s="13" t="str">
        <f>VLOOKUP(D74,Productos!$B$6:$C$35,2,FALSE)</f>
        <v>IMPRESORA BASICA</v>
      </c>
      <c r="F74" s="13" t="str">
        <f>VLOOKUP(D74,Productos!$B$6:$D$35,3,FALSE)</f>
        <v>HOGAR/OFICINA</v>
      </c>
      <c r="G74" s="13">
        <v>2</v>
      </c>
      <c r="H74" s="25">
        <f>VLOOKUP(D74,Productos!$B$6:$E$35,4,FALSE)</f>
        <v>480000</v>
      </c>
      <c r="I74" s="25">
        <f t="shared" si="1"/>
        <v>960000</v>
      </c>
      <c r="J74" s="26" t="s">
        <v>201</v>
      </c>
      <c r="L74" s="2"/>
    </row>
    <row r="75" spans="2:12" x14ac:dyDescent="0.25">
      <c r="B75" s="21">
        <v>46336</v>
      </c>
      <c r="C75" s="10" t="s">
        <v>119</v>
      </c>
      <c r="D75" s="10">
        <v>6</v>
      </c>
      <c r="E75" s="10" t="str">
        <f>VLOOKUP(D75,Productos!$B$6:$C$35,2,FALSE)</f>
        <v>AUDIFONOS BLUETOOTH</v>
      </c>
      <c r="F75" s="10" t="str">
        <f>VLOOKUP(D75,Productos!$B$6:$D$35,3,FALSE)</f>
        <v>AUDIO</v>
      </c>
      <c r="G75" s="10">
        <v>3</v>
      </c>
      <c r="H75" s="22">
        <f>VLOOKUP(D75,Productos!$B$6:$E$35,4,FALSE)</f>
        <v>120000</v>
      </c>
      <c r="I75" s="22">
        <f t="shared" si="1"/>
        <v>360000</v>
      </c>
      <c r="J75" s="23" t="s">
        <v>203</v>
      </c>
      <c r="L75" s="2"/>
    </row>
    <row r="76" spans="2:12" x14ac:dyDescent="0.25">
      <c r="B76" s="24">
        <v>46336</v>
      </c>
      <c r="C76" s="13" t="s">
        <v>120</v>
      </c>
      <c r="D76" s="13">
        <v>22</v>
      </c>
      <c r="E76" s="13" t="str">
        <f>VLOOKUP(D76,Productos!$B$6:$C$35,2,FALSE)</f>
        <v>IMPRESORA BASICA</v>
      </c>
      <c r="F76" s="13" t="str">
        <f>VLOOKUP(D76,Productos!$B$6:$D$35,3,FALSE)</f>
        <v>HOGAR/OFICINA</v>
      </c>
      <c r="G76" s="13">
        <v>1</v>
      </c>
      <c r="H76" s="25">
        <f>VLOOKUP(D76,Productos!$B$6:$E$35,4,FALSE)</f>
        <v>480000</v>
      </c>
      <c r="I76" s="25">
        <f t="shared" si="1"/>
        <v>480000</v>
      </c>
      <c r="J76" s="26" t="s">
        <v>204</v>
      </c>
      <c r="L76" s="2"/>
    </row>
    <row r="77" spans="2:12" x14ac:dyDescent="0.25">
      <c r="B77" s="21">
        <v>46336</v>
      </c>
      <c r="C77" s="10" t="s">
        <v>121</v>
      </c>
      <c r="D77" s="10">
        <v>17</v>
      </c>
      <c r="E77" s="10" t="str">
        <f>VLOOKUP(D77,Productos!$B$6:$C$35,2,FALSE)</f>
        <v xml:space="preserve">EXTENSOR WIFI </v>
      </c>
      <c r="F77" s="10" t="str">
        <f>VLOOKUP(D77,Productos!$B$6:$D$35,3,FALSE)</f>
        <v>REDES</v>
      </c>
      <c r="G77" s="10">
        <v>5</v>
      </c>
      <c r="H77" s="22">
        <f>VLOOKUP(D77,Productos!$B$6:$E$35,4,FALSE)</f>
        <v>150000</v>
      </c>
      <c r="I77" s="22">
        <f t="shared" si="1"/>
        <v>750000</v>
      </c>
      <c r="J77" s="23" t="s">
        <v>203</v>
      </c>
      <c r="L77" s="2"/>
    </row>
    <row r="78" spans="2:12" x14ac:dyDescent="0.25">
      <c r="B78" s="24">
        <v>46338</v>
      </c>
      <c r="C78" s="13" t="s">
        <v>122</v>
      </c>
      <c r="D78" s="13">
        <v>29</v>
      </c>
      <c r="E78" s="13" t="str">
        <f>VLOOKUP(D78,Productos!$B$6:$C$35,2,FALSE)</f>
        <v>FUNDA PARA CELULAR</v>
      </c>
      <c r="F78" s="13" t="str">
        <f>VLOOKUP(D78,Productos!$B$6:$D$35,3,FALSE)</f>
        <v>ACCESORIOS MOVIL</v>
      </c>
      <c r="G78" s="13">
        <v>3</v>
      </c>
      <c r="H78" s="25">
        <f>VLOOKUP(D78,Productos!$B$6:$E$35,4,FALSE)</f>
        <v>30000</v>
      </c>
      <c r="I78" s="25">
        <f t="shared" si="1"/>
        <v>90000</v>
      </c>
      <c r="J78" s="26" t="s">
        <v>203</v>
      </c>
      <c r="L78" s="2"/>
    </row>
    <row r="79" spans="2:12" x14ac:dyDescent="0.25">
      <c r="B79" s="21">
        <v>46339</v>
      </c>
      <c r="C79" s="10" t="s">
        <v>123</v>
      </c>
      <c r="D79" s="10">
        <v>12</v>
      </c>
      <c r="E79" s="10" t="str">
        <f>VLOOKUP(D79,Productos!$B$6:$C$35,2,FALSE)</f>
        <v>DISCO SSD 1TB</v>
      </c>
      <c r="F79" s="10" t="str">
        <f>VLOOKUP(D79,Productos!$B$6:$D$35,3,FALSE)</f>
        <v>ALMACENAMIENTO</v>
      </c>
      <c r="G79" s="10">
        <v>1</v>
      </c>
      <c r="H79" s="22">
        <f>VLOOKUP(D79,Productos!$B$6:$E$35,4,FALSE)</f>
        <v>230000</v>
      </c>
      <c r="I79" s="22">
        <f t="shared" si="1"/>
        <v>230000</v>
      </c>
      <c r="J79" s="23" t="s">
        <v>201</v>
      </c>
      <c r="L79" s="2"/>
    </row>
    <row r="80" spans="2:12" x14ac:dyDescent="0.25">
      <c r="B80" s="24">
        <v>46340</v>
      </c>
      <c r="C80" s="13" t="s">
        <v>124</v>
      </c>
      <c r="D80" s="13">
        <v>2</v>
      </c>
      <c r="E80" s="13" t="str">
        <f>VLOOKUP(D80,Productos!$B$6:$C$35,2,FALSE)</f>
        <v>MOUSE GAMER</v>
      </c>
      <c r="F80" s="13" t="str">
        <f>VLOOKUP(D80,Productos!$B$6:$D$35,3,FALSE)</f>
        <v>ACCESORIOS PC</v>
      </c>
      <c r="G80" s="13">
        <v>1</v>
      </c>
      <c r="H80" s="25">
        <f>VLOOKUP(D80,Productos!$B$6:$E$35,4,FALSE)</f>
        <v>90000</v>
      </c>
      <c r="I80" s="25">
        <f t="shared" si="1"/>
        <v>90000</v>
      </c>
      <c r="J80" s="26" t="s">
        <v>201</v>
      </c>
      <c r="L80" s="2"/>
    </row>
    <row r="81" spans="2:12" x14ac:dyDescent="0.25">
      <c r="B81" s="21">
        <v>46342</v>
      </c>
      <c r="C81" s="10" t="s">
        <v>125</v>
      </c>
      <c r="D81" s="10">
        <v>10</v>
      </c>
      <c r="E81" s="10" t="str">
        <f>VLOOKUP(D81,Productos!$B$6:$C$35,2,FALSE)</f>
        <v>MEMORIA USB  64GB</v>
      </c>
      <c r="F81" s="10" t="str">
        <f>VLOOKUP(D81,Productos!$B$6:$D$35,3,FALSE)</f>
        <v>ALMACENAMIENTO</v>
      </c>
      <c r="G81" s="10">
        <v>4</v>
      </c>
      <c r="H81" s="22">
        <f>VLOOKUP(D81,Productos!$B$6:$E$35,4,FALSE)</f>
        <v>55000</v>
      </c>
      <c r="I81" s="22">
        <f t="shared" si="1"/>
        <v>220000</v>
      </c>
      <c r="J81" s="23" t="s">
        <v>201</v>
      </c>
      <c r="L81" s="2"/>
    </row>
    <row r="82" spans="2:12" x14ac:dyDescent="0.25">
      <c r="B82" s="24">
        <v>46342</v>
      </c>
      <c r="C82" s="13" t="s">
        <v>126</v>
      </c>
      <c r="D82" s="13">
        <v>4</v>
      </c>
      <c r="E82" s="13" t="str">
        <f>VLOOKUP(D82,Productos!$B$6:$C$35,2,FALSE)</f>
        <v>TECLADO MECANICO</v>
      </c>
      <c r="F82" s="13" t="str">
        <f>VLOOKUP(D82,Productos!$B$6:$D$35,3,FALSE)</f>
        <v>ACCESORIOS PC</v>
      </c>
      <c r="G82" s="13">
        <v>1</v>
      </c>
      <c r="H82" s="25">
        <f>VLOOKUP(D82,Productos!$B$6:$E$35,4,FALSE)</f>
        <v>220000</v>
      </c>
      <c r="I82" s="25">
        <f t="shared" si="1"/>
        <v>220000</v>
      </c>
      <c r="J82" s="26" t="s">
        <v>203</v>
      </c>
      <c r="L82" s="2"/>
    </row>
    <row r="83" spans="2:12" x14ac:dyDescent="0.25">
      <c r="B83" s="21">
        <v>46343</v>
      </c>
      <c r="C83" s="10" t="s">
        <v>127</v>
      </c>
      <c r="D83" s="10">
        <v>25</v>
      </c>
      <c r="E83" s="10" t="str">
        <f>VLOOKUP(D83,Productos!$B$6:$C$35,2,FALSE)</f>
        <v>PROTECTOR DE VOLTAJE</v>
      </c>
      <c r="F83" s="10" t="str">
        <f>VLOOKUP(D83,Productos!$B$6:$D$35,3,FALSE)</f>
        <v>ENERGIA</v>
      </c>
      <c r="G83" s="10">
        <v>3</v>
      </c>
      <c r="H83" s="22">
        <f>VLOOKUP(D83,Productos!$B$6:$E$35,4,FALSE)</f>
        <v>80000</v>
      </c>
      <c r="I83" s="22">
        <f t="shared" si="1"/>
        <v>240000</v>
      </c>
      <c r="J83" s="23" t="s">
        <v>204</v>
      </c>
      <c r="L83" s="2"/>
    </row>
    <row r="84" spans="2:12" x14ac:dyDescent="0.25">
      <c r="B84" s="24">
        <v>46343</v>
      </c>
      <c r="C84" s="13" t="s">
        <v>128</v>
      </c>
      <c r="D84" s="13">
        <v>5</v>
      </c>
      <c r="E84" s="13" t="str">
        <f>VLOOKUP(D84,Productos!$B$6:$C$35,2,FALSE)</f>
        <v>AUDIFONOS ALAMBRICOS</v>
      </c>
      <c r="F84" s="13" t="str">
        <f>VLOOKUP(D84,Productos!$B$6:$D$35,3,FALSE)</f>
        <v>AUDIO</v>
      </c>
      <c r="G84" s="13">
        <v>2</v>
      </c>
      <c r="H84" s="25">
        <f>VLOOKUP(D84,Productos!$B$6:$E$35,4,FALSE)</f>
        <v>35000</v>
      </c>
      <c r="I84" s="25">
        <f t="shared" si="1"/>
        <v>70000</v>
      </c>
      <c r="J84" s="26" t="s">
        <v>202</v>
      </c>
      <c r="L84" s="2"/>
    </row>
    <row r="85" spans="2:12" x14ac:dyDescent="0.25">
      <c r="B85" s="21">
        <v>46344</v>
      </c>
      <c r="C85" s="10" t="s">
        <v>129</v>
      </c>
      <c r="D85" s="10">
        <v>17</v>
      </c>
      <c r="E85" s="10" t="str">
        <f>VLOOKUP(D85,Productos!$B$6:$C$35,2,FALSE)</f>
        <v xml:space="preserve">EXTENSOR WIFI </v>
      </c>
      <c r="F85" s="10" t="str">
        <f>VLOOKUP(D85,Productos!$B$6:$D$35,3,FALSE)</f>
        <v>REDES</v>
      </c>
      <c r="G85" s="10">
        <v>3</v>
      </c>
      <c r="H85" s="22">
        <f>VLOOKUP(D85,Productos!$B$6:$E$35,4,FALSE)</f>
        <v>150000</v>
      </c>
      <c r="I85" s="22">
        <f t="shared" si="1"/>
        <v>450000</v>
      </c>
      <c r="J85" s="23" t="s">
        <v>202</v>
      </c>
      <c r="L85" s="2"/>
    </row>
    <row r="86" spans="2:12" x14ac:dyDescent="0.25">
      <c r="B86" s="24">
        <v>46346</v>
      </c>
      <c r="C86" s="13" t="s">
        <v>130</v>
      </c>
      <c r="D86" s="13">
        <v>11</v>
      </c>
      <c r="E86" s="13" t="str">
        <f>VLOOKUP(D86,Productos!$B$6:$C$35,2,FALSE)</f>
        <v>DISCO SSD 480GB</v>
      </c>
      <c r="F86" s="13" t="str">
        <f>VLOOKUP(D86,Productos!$B$6:$D$35,3,FALSE)</f>
        <v>ALMACENAMIENTO</v>
      </c>
      <c r="G86" s="13">
        <v>1</v>
      </c>
      <c r="H86" s="25">
        <f>VLOOKUP(D86,Productos!$B$6:$E$35,4,FALSE)</f>
        <v>210000</v>
      </c>
      <c r="I86" s="25">
        <f t="shared" si="1"/>
        <v>210000</v>
      </c>
      <c r="J86" s="26" t="s">
        <v>202</v>
      </c>
      <c r="L86" s="2"/>
    </row>
    <row r="87" spans="2:12" x14ac:dyDescent="0.25">
      <c r="B87" s="21">
        <v>46346</v>
      </c>
      <c r="C87" s="10" t="s">
        <v>131</v>
      </c>
      <c r="D87" s="10">
        <v>27</v>
      </c>
      <c r="E87" s="10" t="str">
        <f>VLOOKUP(D87,Productos!$B$6:$C$35,2,FALSE)</f>
        <v>BANDA FITNESS</v>
      </c>
      <c r="F87" s="10" t="str">
        <f>VLOOKUP(D87,Productos!$B$6:$D$35,3,FALSE)</f>
        <v>WEARABLES</v>
      </c>
      <c r="G87" s="10">
        <v>4</v>
      </c>
      <c r="H87" s="22">
        <f>VLOOKUP(D87,Productos!$B$6:$E$35,4,FALSE)</f>
        <v>120000</v>
      </c>
      <c r="I87" s="22">
        <f t="shared" si="1"/>
        <v>480000</v>
      </c>
      <c r="J87" s="23" t="s">
        <v>203</v>
      </c>
      <c r="L87" s="2"/>
    </row>
    <row r="88" spans="2:12" x14ac:dyDescent="0.25">
      <c r="B88" s="24">
        <v>46348</v>
      </c>
      <c r="C88" s="13" t="s">
        <v>132</v>
      </c>
      <c r="D88" s="13">
        <v>17</v>
      </c>
      <c r="E88" s="13" t="str">
        <f>VLOOKUP(D88,Productos!$B$6:$C$35,2,FALSE)</f>
        <v xml:space="preserve">EXTENSOR WIFI </v>
      </c>
      <c r="F88" s="13" t="str">
        <f>VLOOKUP(D88,Productos!$B$6:$D$35,3,FALSE)</f>
        <v>REDES</v>
      </c>
      <c r="G88" s="13">
        <v>3</v>
      </c>
      <c r="H88" s="25">
        <f>VLOOKUP(D88,Productos!$B$6:$E$35,4,FALSE)</f>
        <v>150000</v>
      </c>
      <c r="I88" s="25">
        <f t="shared" si="1"/>
        <v>450000</v>
      </c>
      <c r="J88" s="26" t="s">
        <v>202</v>
      </c>
      <c r="L88" s="2"/>
    </row>
    <row r="89" spans="2:12" x14ac:dyDescent="0.25">
      <c r="B89" s="21">
        <v>46349</v>
      </c>
      <c r="C89" s="10" t="s">
        <v>133</v>
      </c>
      <c r="D89" s="10">
        <v>18</v>
      </c>
      <c r="E89" s="10" t="str">
        <f>VLOOKUP(D89,Productos!$B$6:$C$35,2,FALSE)</f>
        <v>CARGADOR RAPIDO USB-C</v>
      </c>
      <c r="F89" s="10" t="str">
        <f>VLOOKUP(D89,Productos!$B$6:$D$35,3,FALSE)</f>
        <v>ENERGIA</v>
      </c>
      <c r="G89" s="10">
        <v>5</v>
      </c>
      <c r="H89" s="22">
        <f>VLOOKUP(D89,Productos!$B$6:$E$35,4,FALSE)</f>
        <v>65000</v>
      </c>
      <c r="I89" s="22">
        <f t="shared" si="1"/>
        <v>325000</v>
      </c>
      <c r="J89" s="23" t="s">
        <v>202</v>
      </c>
      <c r="L89" s="2"/>
    </row>
    <row r="90" spans="2:12" x14ac:dyDescent="0.25">
      <c r="B90" s="24">
        <v>46351</v>
      </c>
      <c r="C90" s="13" t="s">
        <v>134</v>
      </c>
      <c r="D90" s="13">
        <v>10</v>
      </c>
      <c r="E90" s="13" t="str">
        <f>VLOOKUP(D90,Productos!$B$6:$C$35,2,FALSE)</f>
        <v>MEMORIA USB  64GB</v>
      </c>
      <c r="F90" s="13" t="str">
        <f>VLOOKUP(D90,Productos!$B$6:$D$35,3,FALSE)</f>
        <v>ALMACENAMIENTO</v>
      </c>
      <c r="G90" s="13">
        <v>3</v>
      </c>
      <c r="H90" s="25">
        <f>VLOOKUP(D90,Productos!$B$6:$E$35,4,FALSE)</f>
        <v>55000</v>
      </c>
      <c r="I90" s="25">
        <f t="shared" si="1"/>
        <v>165000</v>
      </c>
      <c r="J90" s="26" t="s">
        <v>204</v>
      </c>
      <c r="L90" s="2"/>
    </row>
    <row r="91" spans="2:12" x14ac:dyDescent="0.25">
      <c r="B91" s="21">
        <v>46352</v>
      </c>
      <c r="C91" s="10" t="s">
        <v>135</v>
      </c>
      <c r="D91" s="10">
        <v>15</v>
      </c>
      <c r="E91" s="10" t="str">
        <f>VLOOKUP(D91,Productos!$B$6:$C$35,2,FALSE)</f>
        <v>CABLE USB-C</v>
      </c>
      <c r="F91" s="10" t="str">
        <f>VLOOKUP(D91,Productos!$B$6:$D$35,3,FALSE)</f>
        <v>CABLES</v>
      </c>
      <c r="G91" s="10">
        <v>3</v>
      </c>
      <c r="H91" s="22">
        <f>VLOOKUP(D91,Productos!$B$6:$E$35,4,FALSE)</f>
        <v>30000</v>
      </c>
      <c r="I91" s="22">
        <f t="shared" si="1"/>
        <v>90000</v>
      </c>
      <c r="J91" s="23" t="s">
        <v>201</v>
      </c>
      <c r="L91" s="2"/>
    </row>
    <row r="92" spans="2:12" x14ac:dyDescent="0.25">
      <c r="B92" s="24">
        <v>46354</v>
      </c>
      <c r="C92" s="13" t="s">
        <v>136</v>
      </c>
      <c r="D92" s="13">
        <v>12</v>
      </c>
      <c r="E92" s="13" t="str">
        <f>VLOOKUP(D92,Productos!$B$6:$C$35,2,FALSE)</f>
        <v>DISCO SSD 1TB</v>
      </c>
      <c r="F92" s="13" t="str">
        <f>VLOOKUP(D92,Productos!$B$6:$D$35,3,FALSE)</f>
        <v>ALMACENAMIENTO</v>
      </c>
      <c r="G92" s="13">
        <v>4</v>
      </c>
      <c r="H92" s="25">
        <f>VLOOKUP(D92,Productos!$B$6:$E$35,4,FALSE)</f>
        <v>230000</v>
      </c>
      <c r="I92" s="25">
        <f t="shared" si="1"/>
        <v>920000</v>
      </c>
      <c r="J92" s="26" t="s">
        <v>201</v>
      </c>
      <c r="L92" s="2"/>
    </row>
    <row r="93" spans="2:12" x14ac:dyDescent="0.25">
      <c r="B93" s="21">
        <v>46356</v>
      </c>
      <c r="C93" s="10" t="s">
        <v>137</v>
      </c>
      <c r="D93" s="10">
        <v>19</v>
      </c>
      <c r="E93" s="10" t="str">
        <f>VLOOKUP(D93,Productos!$B$6:$C$35,2,FALSE)</f>
        <v>BASE ENFRIADORA LAPTOP</v>
      </c>
      <c r="F93" s="10" t="str">
        <f>VLOOKUP(D93,Productos!$B$6:$D$35,3,FALSE)</f>
        <v>ACCESORIOS PC</v>
      </c>
      <c r="G93" s="10">
        <v>1</v>
      </c>
      <c r="H93" s="22">
        <f>VLOOKUP(D93,Productos!$B$6:$E$35,4,FALSE)</f>
        <v>85000</v>
      </c>
      <c r="I93" s="22">
        <f t="shared" si="1"/>
        <v>85000</v>
      </c>
      <c r="J93" s="23" t="s">
        <v>203</v>
      </c>
      <c r="L93" s="2"/>
    </row>
    <row r="94" spans="2:12" x14ac:dyDescent="0.25">
      <c r="B94" s="24">
        <v>46357</v>
      </c>
      <c r="C94" s="13" t="s">
        <v>138</v>
      </c>
      <c r="D94" s="13">
        <v>28</v>
      </c>
      <c r="E94" s="13" t="str">
        <f>VLOOKUP(D94,Productos!$B$6:$C$35,2,FALSE)</f>
        <v>SOPORTE PARA CELULAR</v>
      </c>
      <c r="F94" s="13" t="str">
        <f>VLOOKUP(D94,Productos!$B$6:$D$35,3,FALSE)</f>
        <v>ACCESORIOS MOVIL</v>
      </c>
      <c r="G94" s="13">
        <v>4</v>
      </c>
      <c r="H94" s="25">
        <f>VLOOKUP(D94,Productos!$B$6:$E$35,4,FALSE)</f>
        <v>25000</v>
      </c>
      <c r="I94" s="25">
        <f t="shared" si="1"/>
        <v>100000</v>
      </c>
      <c r="J94" s="26" t="s">
        <v>204</v>
      </c>
      <c r="L94" s="2"/>
    </row>
    <row r="95" spans="2:12" x14ac:dyDescent="0.25">
      <c r="B95" s="21">
        <v>46359</v>
      </c>
      <c r="C95" s="10" t="s">
        <v>139</v>
      </c>
      <c r="D95" s="10">
        <v>2</v>
      </c>
      <c r="E95" s="10" t="str">
        <f>VLOOKUP(D95,Productos!$B$6:$C$35,2,FALSE)</f>
        <v>MOUSE GAMER</v>
      </c>
      <c r="F95" s="10" t="str">
        <f>VLOOKUP(D95,Productos!$B$6:$D$35,3,FALSE)</f>
        <v>ACCESORIOS PC</v>
      </c>
      <c r="G95" s="10">
        <v>4</v>
      </c>
      <c r="H95" s="22">
        <f>VLOOKUP(D95,Productos!$B$6:$E$35,4,FALSE)</f>
        <v>90000</v>
      </c>
      <c r="I95" s="22">
        <f t="shared" si="1"/>
        <v>360000</v>
      </c>
      <c r="J95" s="23" t="s">
        <v>203</v>
      </c>
      <c r="L95" s="2"/>
    </row>
    <row r="96" spans="2:12" x14ac:dyDescent="0.25">
      <c r="B96" s="24">
        <v>46361</v>
      </c>
      <c r="C96" s="13" t="s">
        <v>140</v>
      </c>
      <c r="D96" s="13">
        <v>7</v>
      </c>
      <c r="E96" s="13" t="str">
        <f>VLOOKUP(D96,Productos!$B$6:$C$35,2,FALSE)</f>
        <v>DIADEMA GAMER</v>
      </c>
      <c r="F96" s="13" t="str">
        <f>VLOOKUP(D96,Productos!$B$6:$D$35,3,FALSE)</f>
        <v>AUDIO</v>
      </c>
      <c r="G96" s="13">
        <v>4</v>
      </c>
      <c r="H96" s="25">
        <f>VLOOKUP(D96,Productos!$B$6:$E$35,4,FALSE)</f>
        <v>180000</v>
      </c>
      <c r="I96" s="25">
        <f t="shared" si="1"/>
        <v>720000</v>
      </c>
      <c r="J96" s="26" t="s">
        <v>204</v>
      </c>
      <c r="L96" s="2"/>
    </row>
    <row r="97" spans="2:12" x14ac:dyDescent="0.25">
      <c r="B97" s="21">
        <v>46361</v>
      </c>
      <c r="C97" s="10" t="s">
        <v>141</v>
      </c>
      <c r="D97" s="10">
        <v>21</v>
      </c>
      <c r="E97" s="10" t="str">
        <f>VLOOKUP(D97,Productos!$B$6:$C$35,2,FALSE)</f>
        <v>MONITOR 22'</v>
      </c>
      <c r="F97" s="10" t="str">
        <f>VLOOKUP(D97,Productos!$B$6:$D$35,3,FALSE)</f>
        <v>MONITORES</v>
      </c>
      <c r="G97" s="10">
        <v>1</v>
      </c>
      <c r="H97" s="22">
        <f>VLOOKUP(D97,Productos!$B$6:$E$35,4,FALSE)</f>
        <v>520000</v>
      </c>
      <c r="I97" s="22">
        <f t="shared" si="1"/>
        <v>520000</v>
      </c>
      <c r="J97" s="23" t="s">
        <v>201</v>
      </c>
      <c r="L97" s="2"/>
    </row>
    <row r="98" spans="2:12" x14ac:dyDescent="0.25">
      <c r="B98" s="24">
        <v>46361</v>
      </c>
      <c r="C98" s="13" t="s">
        <v>142</v>
      </c>
      <c r="D98" s="13">
        <v>25</v>
      </c>
      <c r="E98" s="13" t="str">
        <f>VLOOKUP(D98,Productos!$B$6:$C$35,2,FALSE)</f>
        <v>PROTECTOR DE VOLTAJE</v>
      </c>
      <c r="F98" s="13" t="str">
        <f>VLOOKUP(D98,Productos!$B$6:$D$35,3,FALSE)</f>
        <v>ENERGIA</v>
      </c>
      <c r="G98" s="13">
        <v>5</v>
      </c>
      <c r="H98" s="25">
        <f>VLOOKUP(D98,Productos!$B$6:$E$35,4,FALSE)</f>
        <v>80000</v>
      </c>
      <c r="I98" s="25">
        <f t="shared" si="1"/>
        <v>400000</v>
      </c>
      <c r="J98" s="26" t="s">
        <v>204</v>
      </c>
      <c r="L98" s="2"/>
    </row>
    <row r="99" spans="2:12" x14ac:dyDescent="0.25">
      <c r="B99" s="21">
        <v>46362</v>
      </c>
      <c r="C99" s="10" t="s">
        <v>143</v>
      </c>
      <c r="D99" s="10">
        <v>18</v>
      </c>
      <c r="E99" s="10" t="str">
        <f>VLOOKUP(D99,Productos!$B$6:$C$35,2,FALSE)</f>
        <v>CARGADOR RAPIDO USB-C</v>
      </c>
      <c r="F99" s="10" t="str">
        <f>VLOOKUP(D99,Productos!$B$6:$D$35,3,FALSE)</f>
        <v>ENERGIA</v>
      </c>
      <c r="G99" s="10">
        <v>3</v>
      </c>
      <c r="H99" s="22">
        <f>VLOOKUP(D99,Productos!$B$6:$E$35,4,FALSE)</f>
        <v>65000</v>
      </c>
      <c r="I99" s="22">
        <f t="shared" si="1"/>
        <v>195000</v>
      </c>
      <c r="J99" s="23" t="s">
        <v>201</v>
      </c>
      <c r="L99" s="2"/>
    </row>
    <row r="100" spans="2:12" x14ac:dyDescent="0.25">
      <c r="B100" s="24">
        <v>46363</v>
      </c>
      <c r="C100" s="13" t="s">
        <v>144</v>
      </c>
      <c r="D100" s="13">
        <v>23</v>
      </c>
      <c r="E100" s="13" t="str">
        <f>VLOOKUP(D100,Productos!$B$6:$C$35,2,FALSE)</f>
        <v>TINTA GENERICA</v>
      </c>
      <c r="F100" s="13" t="str">
        <f>VLOOKUP(D100,Productos!$B$6:$D$35,3,FALSE)</f>
        <v>HOGAR/OFICINA</v>
      </c>
      <c r="G100" s="13">
        <v>5</v>
      </c>
      <c r="H100" s="25">
        <f>VLOOKUP(D100,Productos!$B$6:$E$35,4,FALSE)</f>
        <v>90000</v>
      </c>
      <c r="I100" s="25">
        <f t="shared" si="1"/>
        <v>450000</v>
      </c>
      <c r="J100" s="26" t="s">
        <v>201</v>
      </c>
      <c r="L100" s="2"/>
    </row>
    <row r="101" spans="2:12" x14ac:dyDescent="0.25">
      <c r="B101" s="21">
        <v>46364</v>
      </c>
      <c r="C101" s="10" t="s">
        <v>145</v>
      </c>
      <c r="D101" s="10">
        <v>22</v>
      </c>
      <c r="E101" s="10" t="str">
        <f>VLOOKUP(D101,Productos!$B$6:$C$35,2,FALSE)</f>
        <v>IMPRESORA BASICA</v>
      </c>
      <c r="F101" s="10" t="str">
        <f>VLOOKUP(D101,Productos!$B$6:$D$35,3,FALSE)</f>
        <v>HOGAR/OFICINA</v>
      </c>
      <c r="G101" s="10">
        <v>1</v>
      </c>
      <c r="H101" s="22">
        <f>VLOOKUP(D101,Productos!$B$6:$E$35,4,FALSE)</f>
        <v>480000</v>
      </c>
      <c r="I101" s="22">
        <f t="shared" si="1"/>
        <v>480000</v>
      </c>
      <c r="J101" s="23" t="s">
        <v>203</v>
      </c>
      <c r="L101" s="2"/>
    </row>
    <row r="102" spans="2:12" x14ac:dyDescent="0.25">
      <c r="B102" s="24">
        <v>46365</v>
      </c>
      <c r="C102" s="13" t="s">
        <v>146</v>
      </c>
      <c r="D102" s="13">
        <v>16</v>
      </c>
      <c r="E102" s="13" t="str">
        <f>VLOOKUP(D102,Productos!$B$6:$C$35,2,FALSE)</f>
        <v>POWER BANK 10000MAH</v>
      </c>
      <c r="F102" s="13" t="str">
        <f>VLOOKUP(D102,Productos!$B$6:$D$35,3,FALSE)</f>
        <v>ENERGIA</v>
      </c>
      <c r="G102" s="13">
        <v>3</v>
      </c>
      <c r="H102" s="25">
        <f>VLOOKUP(D102,Productos!$B$6:$E$35,4,FALSE)</f>
        <v>90000</v>
      </c>
      <c r="I102" s="25">
        <f t="shared" si="1"/>
        <v>270000</v>
      </c>
      <c r="J102" s="26" t="s">
        <v>201</v>
      </c>
      <c r="L102" s="2"/>
    </row>
    <row r="103" spans="2:12" x14ac:dyDescent="0.25">
      <c r="B103" s="21">
        <v>46367</v>
      </c>
      <c r="C103" s="10" t="s">
        <v>147</v>
      </c>
      <c r="D103" s="10">
        <v>23</v>
      </c>
      <c r="E103" s="10" t="str">
        <f>VLOOKUP(D103,Productos!$B$6:$C$35,2,FALSE)</f>
        <v>TINTA GENERICA</v>
      </c>
      <c r="F103" s="10" t="str">
        <f>VLOOKUP(D103,Productos!$B$6:$D$35,3,FALSE)</f>
        <v>HOGAR/OFICINA</v>
      </c>
      <c r="G103" s="10">
        <v>2</v>
      </c>
      <c r="H103" s="22">
        <f>VLOOKUP(D103,Productos!$B$6:$E$35,4,FALSE)</f>
        <v>90000</v>
      </c>
      <c r="I103" s="22">
        <f t="shared" si="1"/>
        <v>180000</v>
      </c>
      <c r="J103" s="23" t="s">
        <v>201</v>
      </c>
      <c r="L103" s="2"/>
    </row>
    <row r="104" spans="2:12" x14ac:dyDescent="0.25">
      <c r="B104" s="24">
        <v>46368</v>
      </c>
      <c r="C104" s="13" t="s">
        <v>148</v>
      </c>
      <c r="D104" s="13">
        <v>19</v>
      </c>
      <c r="E104" s="13" t="str">
        <f>VLOOKUP(D104,Productos!$B$6:$C$35,2,FALSE)</f>
        <v>BASE ENFRIADORA LAPTOP</v>
      </c>
      <c r="F104" s="13" t="str">
        <f>VLOOKUP(D104,Productos!$B$6:$D$35,3,FALSE)</f>
        <v>ACCESORIOS PC</v>
      </c>
      <c r="G104" s="13">
        <v>4</v>
      </c>
      <c r="H104" s="25">
        <f>VLOOKUP(D104,Productos!$B$6:$E$35,4,FALSE)</f>
        <v>85000</v>
      </c>
      <c r="I104" s="25">
        <f t="shared" si="1"/>
        <v>340000</v>
      </c>
      <c r="J104" s="26" t="s">
        <v>202</v>
      </c>
      <c r="L104" s="2"/>
    </row>
    <row r="105" spans="2:12" x14ac:dyDescent="0.25">
      <c r="B105" s="21">
        <v>46370</v>
      </c>
      <c r="C105" s="10" t="s">
        <v>149</v>
      </c>
      <c r="D105" s="10">
        <v>3</v>
      </c>
      <c r="E105" s="10" t="str">
        <f>VLOOKUP(D105,Productos!$B$6:$C$35,2,FALSE)</f>
        <v>TECLADO ALAMBRICO</v>
      </c>
      <c r="F105" s="10" t="str">
        <f>VLOOKUP(D105,Productos!$B$6:$D$35,3,FALSE)</f>
        <v>ACCESORIOS PC</v>
      </c>
      <c r="G105" s="10">
        <v>1</v>
      </c>
      <c r="H105" s="22">
        <f>VLOOKUP(D105,Productos!$B$6:$E$35,4,FALSE)</f>
        <v>60000</v>
      </c>
      <c r="I105" s="22">
        <f t="shared" si="1"/>
        <v>60000</v>
      </c>
      <c r="J105" s="23" t="s">
        <v>201</v>
      </c>
      <c r="L105" s="2"/>
    </row>
    <row r="106" spans="2:12" x14ac:dyDescent="0.25">
      <c r="B106" s="24">
        <v>46370</v>
      </c>
      <c r="C106" s="13" t="s">
        <v>150</v>
      </c>
      <c r="D106" s="13">
        <v>22</v>
      </c>
      <c r="E106" s="13" t="str">
        <f>VLOOKUP(D106,Productos!$B$6:$C$35,2,FALSE)</f>
        <v>IMPRESORA BASICA</v>
      </c>
      <c r="F106" s="13" t="str">
        <f>VLOOKUP(D106,Productos!$B$6:$D$35,3,FALSE)</f>
        <v>HOGAR/OFICINA</v>
      </c>
      <c r="G106" s="13">
        <v>4</v>
      </c>
      <c r="H106" s="25">
        <f>VLOOKUP(D106,Productos!$B$6:$E$35,4,FALSE)</f>
        <v>480000</v>
      </c>
      <c r="I106" s="25">
        <f t="shared" si="1"/>
        <v>1920000</v>
      </c>
      <c r="J106" s="26" t="s">
        <v>203</v>
      </c>
      <c r="L106" s="2"/>
    </row>
    <row r="107" spans="2:12" x14ac:dyDescent="0.25">
      <c r="B107" s="21">
        <v>46371</v>
      </c>
      <c r="C107" s="10" t="s">
        <v>151</v>
      </c>
      <c r="D107" s="10">
        <v>2</v>
      </c>
      <c r="E107" s="10" t="str">
        <f>VLOOKUP(D107,Productos!$B$6:$C$35,2,FALSE)</f>
        <v>MOUSE GAMER</v>
      </c>
      <c r="F107" s="10" t="str">
        <f>VLOOKUP(D107,Productos!$B$6:$D$35,3,FALSE)</f>
        <v>ACCESORIOS PC</v>
      </c>
      <c r="G107" s="10">
        <v>5</v>
      </c>
      <c r="H107" s="22">
        <f>VLOOKUP(D107,Productos!$B$6:$E$35,4,FALSE)</f>
        <v>90000</v>
      </c>
      <c r="I107" s="22">
        <f t="shared" si="1"/>
        <v>450000</v>
      </c>
      <c r="J107" s="23" t="s">
        <v>204</v>
      </c>
      <c r="L107" s="2"/>
    </row>
    <row r="108" spans="2:12" x14ac:dyDescent="0.25">
      <c r="B108" s="24">
        <v>46372</v>
      </c>
      <c r="C108" s="13" t="s">
        <v>152</v>
      </c>
      <c r="D108" s="13">
        <v>25</v>
      </c>
      <c r="E108" s="13" t="str">
        <f>VLOOKUP(D108,Productos!$B$6:$C$35,2,FALSE)</f>
        <v>PROTECTOR DE VOLTAJE</v>
      </c>
      <c r="F108" s="13" t="str">
        <f>VLOOKUP(D108,Productos!$B$6:$D$35,3,FALSE)</f>
        <v>ENERGIA</v>
      </c>
      <c r="G108" s="13">
        <v>1</v>
      </c>
      <c r="H108" s="25">
        <f>VLOOKUP(D108,Productos!$B$6:$E$35,4,FALSE)</f>
        <v>80000</v>
      </c>
      <c r="I108" s="25">
        <f t="shared" si="1"/>
        <v>80000</v>
      </c>
      <c r="J108" s="26" t="s">
        <v>202</v>
      </c>
      <c r="L108" s="2"/>
    </row>
    <row r="109" spans="2:12" x14ac:dyDescent="0.25">
      <c r="B109" s="21">
        <v>46374</v>
      </c>
      <c r="C109" s="10" t="s">
        <v>153</v>
      </c>
      <c r="D109" s="10">
        <v>6</v>
      </c>
      <c r="E109" s="10" t="str">
        <f>VLOOKUP(D109,Productos!$B$6:$C$35,2,FALSE)</f>
        <v>AUDIFONOS BLUETOOTH</v>
      </c>
      <c r="F109" s="10" t="str">
        <f>VLOOKUP(D109,Productos!$B$6:$D$35,3,FALSE)</f>
        <v>AUDIO</v>
      </c>
      <c r="G109" s="10">
        <v>2</v>
      </c>
      <c r="H109" s="22">
        <f>VLOOKUP(D109,Productos!$B$6:$E$35,4,FALSE)</f>
        <v>120000</v>
      </c>
      <c r="I109" s="22">
        <f t="shared" si="1"/>
        <v>240000</v>
      </c>
      <c r="J109" s="23" t="s">
        <v>201</v>
      </c>
      <c r="L109" s="2"/>
    </row>
    <row r="110" spans="2:12" x14ac:dyDescent="0.25">
      <c r="B110" s="24">
        <v>46376</v>
      </c>
      <c r="C110" s="13" t="s">
        <v>154</v>
      </c>
      <c r="D110" s="13">
        <v>30</v>
      </c>
      <c r="E110" s="13" t="str">
        <f>VLOOKUP(D110,Productos!$B$6:$C$35,2,FALSE)</f>
        <v>VIDRIO TEMPLADO</v>
      </c>
      <c r="F110" s="13" t="str">
        <f>VLOOKUP(D110,Productos!$B$6:$D$35,3,FALSE)</f>
        <v>ACCESORIOS MOVIL</v>
      </c>
      <c r="G110" s="13">
        <v>5</v>
      </c>
      <c r="H110" s="25">
        <f>VLOOKUP(D110,Productos!$B$6:$E$35,4,FALSE)</f>
        <v>20000</v>
      </c>
      <c r="I110" s="25">
        <f t="shared" si="1"/>
        <v>100000</v>
      </c>
      <c r="J110" s="26" t="s">
        <v>204</v>
      </c>
      <c r="L110" s="2"/>
    </row>
    <row r="111" spans="2:12" x14ac:dyDescent="0.25">
      <c r="B111" s="21">
        <v>46378</v>
      </c>
      <c r="C111" s="10" t="s">
        <v>155</v>
      </c>
      <c r="D111" s="10">
        <v>30</v>
      </c>
      <c r="E111" s="10" t="str">
        <f>VLOOKUP(D111,Productos!$B$6:$C$35,2,FALSE)</f>
        <v>VIDRIO TEMPLADO</v>
      </c>
      <c r="F111" s="10" t="str">
        <f>VLOOKUP(D111,Productos!$B$6:$D$35,3,FALSE)</f>
        <v>ACCESORIOS MOVIL</v>
      </c>
      <c r="G111" s="10">
        <v>5</v>
      </c>
      <c r="H111" s="22">
        <f>VLOOKUP(D111,Productos!$B$6:$E$35,4,FALSE)</f>
        <v>20000</v>
      </c>
      <c r="I111" s="22">
        <f t="shared" si="1"/>
        <v>100000</v>
      </c>
      <c r="J111" s="23" t="s">
        <v>201</v>
      </c>
      <c r="L111" s="2"/>
    </row>
    <row r="112" spans="2:12" x14ac:dyDescent="0.25">
      <c r="B112" s="24">
        <v>46380</v>
      </c>
      <c r="C112" s="13" t="s">
        <v>156</v>
      </c>
      <c r="D112" s="13">
        <v>25</v>
      </c>
      <c r="E112" s="13" t="str">
        <f>VLOOKUP(D112,Productos!$B$6:$C$35,2,FALSE)</f>
        <v>PROTECTOR DE VOLTAJE</v>
      </c>
      <c r="F112" s="13" t="str">
        <f>VLOOKUP(D112,Productos!$B$6:$D$35,3,FALSE)</f>
        <v>ENERGIA</v>
      </c>
      <c r="G112" s="13">
        <v>2</v>
      </c>
      <c r="H112" s="25">
        <f>VLOOKUP(D112,Productos!$B$6:$E$35,4,FALSE)</f>
        <v>80000</v>
      </c>
      <c r="I112" s="25">
        <f t="shared" si="1"/>
        <v>160000</v>
      </c>
      <c r="J112" s="26" t="s">
        <v>202</v>
      </c>
      <c r="L112" s="2"/>
    </row>
    <row r="113" spans="2:12" x14ac:dyDescent="0.25">
      <c r="B113" s="21">
        <v>46380</v>
      </c>
      <c r="C113" s="10" t="s">
        <v>157</v>
      </c>
      <c r="D113" s="10">
        <v>14</v>
      </c>
      <c r="E113" s="10" t="str">
        <f>VLOOKUP(D113,Productos!$B$6:$C$35,2,FALSE)</f>
        <v xml:space="preserve">CABLE HDMI 2MTS </v>
      </c>
      <c r="F113" s="10" t="str">
        <f>VLOOKUP(D113,Productos!$B$6:$D$35,3,FALSE)</f>
        <v>CABLES</v>
      </c>
      <c r="G113" s="10">
        <v>4</v>
      </c>
      <c r="H113" s="22">
        <f>VLOOKUP(D113,Productos!$B$6:$E$35,4,FALSE)</f>
        <v>25000</v>
      </c>
      <c r="I113" s="22">
        <f t="shared" si="1"/>
        <v>100000</v>
      </c>
      <c r="J113" s="23" t="s">
        <v>203</v>
      </c>
      <c r="L113" s="2"/>
    </row>
    <row r="114" spans="2:12" x14ac:dyDescent="0.25">
      <c r="B114" s="24">
        <v>46382</v>
      </c>
      <c r="C114" s="13" t="s">
        <v>158</v>
      </c>
      <c r="D114" s="13">
        <v>5</v>
      </c>
      <c r="E114" s="13" t="str">
        <f>VLOOKUP(D114,Productos!$B$6:$C$35,2,FALSE)</f>
        <v>AUDIFONOS ALAMBRICOS</v>
      </c>
      <c r="F114" s="13" t="str">
        <f>VLOOKUP(D114,Productos!$B$6:$D$35,3,FALSE)</f>
        <v>AUDIO</v>
      </c>
      <c r="G114" s="13">
        <v>2</v>
      </c>
      <c r="H114" s="25">
        <f>VLOOKUP(D114,Productos!$B$6:$E$35,4,FALSE)</f>
        <v>35000</v>
      </c>
      <c r="I114" s="25">
        <f t="shared" si="1"/>
        <v>70000</v>
      </c>
      <c r="J114" s="26" t="s">
        <v>203</v>
      </c>
      <c r="L114" s="2"/>
    </row>
    <row r="115" spans="2:12" x14ac:dyDescent="0.25">
      <c r="B115" s="21">
        <v>46384</v>
      </c>
      <c r="C115" s="10" t="s">
        <v>159</v>
      </c>
      <c r="D115" s="10">
        <v>19</v>
      </c>
      <c r="E115" s="10" t="str">
        <f>VLOOKUP(D115,Productos!$B$6:$C$35,2,FALSE)</f>
        <v>BASE ENFRIADORA LAPTOP</v>
      </c>
      <c r="F115" s="10" t="str">
        <f>VLOOKUP(D115,Productos!$B$6:$D$35,3,FALSE)</f>
        <v>ACCESORIOS PC</v>
      </c>
      <c r="G115" s="10">
        <v>2</v>
      </c>
      <c r="H115" s="22">
        <f>VLOOKUP(D115,Productos!$B$6:$E$35,4,FALSE)</f>
        <v>85000</v>
      </c>
      <c r="I115" s="22">
        <f t="shared" si="1"/>
        <v>170000</v>
      </c>
      <c r="J115" s="23" t="s">
        <v>203</v>
      </c>
      <c r="L115" s="2"/>
    </row>
    <row r="116" spans="2:12" x14ac:dyDescent="0.25">
      <c r="B116" s="24">
        <v>46384</v>
      </c>
      <c r="C116" s="13" t="s">
        <v>160</v>
      </c>
      <c r="D116" s="13">
        <v>30</v>
      </c>
      <c r="E116" s="13" t="str">
        <f>VLOOKUP(D116,Productos!$B$6:$C$35,2,FALSE)</f>
        <v>VIDRIO TEMPLADO</v>
      </c>
      <c r="F116" s="13" t="str">
        <f>VLOOKUP(D116,Productos!$B$6:$D$35,3,FALSE)</f>
        <v>ACCESORIOS MOVIL</v>
      </c>
      <c r="G116" s="13">
        <v>4</v>
      </c>
      <c r="H116" s="25">
        <f>VLOOKUP(D116,Productos!$B$6:$E$35,4,FALSE)</f>
        <v>20000</v>
      </c>
      <c r="I116" s="25">
        <f t="shared" si="1"/>
        <v>80000</v>
      </c>
      <c r="J116" s="26" t="s">
        <v>201</v>
      </c>
      <c r="L116" s="2"/>
    </row>
    <row r="117" spans="2:12" x14ac:dyDescent="0.25">
      <c r="B117" s="21">
        <v>46385</v>
      </c>
      <c r="C117" s="10" t="s">
        <v>161</v>
      </c>
      <c r="D117" s="10">
        <v>5</v>
      </c>
      <c r="E117" s="10" t="str">
        <f>VLOOKUP(D117,Productos!$B$6:$C$35,2,FALSE)</f>
        <v>AUDIFONOS ALAMBRICOS</v>
      </c>
      <c r="F117" s="10" t="str">
        <f>VLOOKUP(D117,Productos!$B$6:$D$35,3,FALSE)</f>
        <v>AUDIO</v>
      </c>
      <c r="G117" s="10">
        <v>5</v>
      </c>
      <c r="H117" s="22">
        <f>VLOOKUP(D117,Productos!$B$6:$E$35,4,FALSE)</f>
        <v>35000</v>
      </c>
      <c r="I117" s="22">
        <f t="shared" si="1"/>
        <v>175000</v>
      </c>
      <c r="J117" s="23" t="s">
        <v>204</v>
      </c>
      <c r="L117" s="2"/>
    </row>
    <row r="118" spans="2:12" x14ac:dyDescent="0.25">
      <c r="B118" s="24">
        <v>46387</v>
      </c>
      <c r="C118" s="13" t="s">
        <v>162</v>
      </c>
      <c r="D118" s="13">
        <v>27</v>
      </c>
      <c r="E118" s="13" t="str">
        <f>VLOOKUP(D118,Productos!$B$6:$C$35,2,FALSE)</f>
        <v>BANDA FITNESS</v>
      </c>
      <c r="F118" s="13" t="str">
        <f>VLOOKUP(D118,Productos!$B$6:$D$35,3,FALSE)</f>
        <v>WEARABLES</v>
      </c>
      <c r="G118" s="13">
        <v>3</v>
      </c>
      <c r="H118" s="25">
        <f>VLOOKUP(D118,Productos!$B$6:$E$35,4,FALSE)</f>
        <v>120000</v>
      </c>
      <c r="I118" s="25">
        <f t="shared" si="1"/>
        <v>360000</v>
      </c>
      <c r="J118" s="26" t="s">
        <v>202</v>
      </c>
      <c r="L118" s="2"/>
    </row>
    <row r="119" spans="2:12" x14ac:dyDescent="0.25">
      <c r="B119" s="21">
        <v>46389</v>
      </c>
      <c r="C119" s="10" t="s">
        <v>163</v>
      </c>
      <c r="D119" s="10">
        <v>28</v>
      </c>
      <c r="E119" s="10" t="str">
        <f>VLOOKUP(D119,Productos!$B$6:$C$35,2,FALSE)</f>
        <v>SOPORTE PARA CELULAR</v>
      </c>
      <c r="F119" s="10" t="str">
        <f>VLOOKUP(D119,Productos!$B$6:$D$35,3,FALSE)</f>
        <v>ACCESORIOS MOVIL</v>
      </c>
      <c r="G119" s="10">
        <v>2</v>
      </c>
      <c r="H119" s="22">
        <f>VLOOKUP(D119,Productos!$B$6:$E$35,4,FALSE)</f>
        <v>25000</v>
      </c>
      <c r="I119" s="22">
        <f t="shared" si="1"/>
        <v>50000</v>
      </c>
      <c r="J119" s="23" t="s">
        <v>203</v>
      </c>
      <c r="L119" s="2"/>
    </row>
    <row r="120" spans="2:12" x14ac:dyDescent="0.25">
      <c r="B120" s="24">
        <v>46390</v>
      </c>
      <c r="C120" s="13" t="s">
        <v>164</v>
      </c>
      <c r="D120" s="13">
        <v>3</v>
      </c>
      <c r="E120" s="13" t="str">
        <f>VLOOKUP(D120,Productos!$B$6:$C$35,2,FALSE)</f>
        <v>TECLADO ALAMBRICO</v>
      </c>
      <c r="F120" s="13" t="str">
        <f>VLOOKUP(D120,Productos!$B$6:$D$35,3,FALSE)</f>
        <v>ACCESORIOS PC</v>
      </c>
      <c r="G120" s="13">
        <v>3</v>
      </c>
      <c r="H120" s="25">
        <f>VLOOKUP(D120,Productos!$B$6:$E$35,4,FALSE)</f>
        <v>60000</v>
      </c>
      <c r="I120" s="25">
        <f t="shared" si="1"/>
        <v>180000</v>
      </c>
      <c r="J120" s="26" t="s">
        <v>202</v>
      </c>
      <c r="L120" s="2"/>
    </row>
    <row r="121" spans="2:12" x14ac:dyDescent="0.25">
      <c r="B121" s="21">
        <v>46390</v>
      </c>
      <c r="C121" s="10" t="s">
        <v>165</v>
      </c>
      <c r="D121" s="10">
        <v>27</v>
      </c>
      <c r="E121" s="10" t="str">
        <f>VLOOKUP(D121,Productos!$B$6:$C$35,2,FALSE)</f>
        <v>BANDA FITNESS</v>
      </c>
      <c r="F121" s="10" t="str">
        <f>VLOOKUP(D121,Productos!$B$6:$D$35,3,FALSE)</f>
        <v>WEARABLES</v>
      </c>
      <c r="G121" s="10">
        <v>5</v>
      </c>
      <c r="H121" s="22">
        <f>VLOOKUP(D121,Productos!$B$6:$E$35,4,FALSE)</f>
        <v>120000</v>
      </c>
      <c r="I121" s="22">
        <f t="shared" si="1"/>
        <v>600000</v>
      </c>
      <c r="J121" s="23" t="s">
        <v>204</v>
      </c>
      <c r="L121" s="2"/>
    </row>
    <row r="122" spans="2:12" x14ac:dyDescent="0.25">
      <c r="B122" s="24">
        <v>46391</v>
      </c>
      <c r="C122" s="13" t="s">
        <v>166</v>
      </c>
      <c r="D122" s="13">
        <v>18</v>
      </c>
      <c r="E122" s="13" t="str">
        <f>VLOOKUP(D122,Productos!$B$6:$C$35,2,FALSE)</f>
        <v>CARGADOR RAPIDO USB-C</v>
      </c>
      <c r="F122" s="13" t="str">
        <f>VLOOKUP(D122,Productos!$B$6:$D$35,3,FALSE)</f>
        <v>ENERGIA</v>
      </c>
      <c r="G122" s="13">
        <v>4</v>
      </c>
      <c r="H122" s="25">
        <f>VLOOKUP(D122,Productos!$B$6:$E$35,4,FALSE)</f>
        <v>65000</v>
      </c>
      <c r="I122" s="25">
        <f t="shared" si="1"/>
        <v>260000</v>
      </c>
      <c r="J122" s="26" t="s">
        <v>204</v>
      </c>
      <c r="L122" s="2"/>
    </row>
    <row r="123" spans="2:12" x14ac:dyDescent="0.25">
      <c r="B123" s="21">
        <v>46391</v>
      </c>
      <c r="C123" s="10" t="s">
        <v>167</v>
      </c>
      <c r="D123" s="10">
        <v>15</v>
      </c>
      <c r="E123" s="10" t="str">
        <f>VLOOKUP(D123,Productos!$B$6:$C$35,2,FALSE)</f>
        <v>CABLE USB-C</v>
      </c>
      <c r="F123" s="10" t="str">
        <f>VLOOKUP(D123,Productos!$B$6:$D$35,3,FALSE)</f>
        <v>CABLES</v>
      </c>
      <c r="G123" s="10">
        <v>4</v>
      </c>
      <c r="H123" s="22">
        <f>VLOOKUP(D123,Productos!$B$6:$E$35,4,FALSE)</f>
        <v>30000</v>
      </c>
      <c r="I123" s="22">
        <f t="shared" si="1"/>
        <v>120000</v>
      </c>
      <c r="J123" s="23" t="s">
        <v>201</v>
      </c>
      <c r="L123" s="2"/>
    </row>
    <row r="124" spans="2:12" x14ac:dyDescent="0.25">
      <c r="B124" s="24">
        <v>46391</v>
      </c>
      <c r="C124" s="13" t="s">
        <v>168</v>
      </c>
      <c r="D124" s="13">
        <v>13</v>
      </c>
      <c r="E124" s="13" t="str">
        <f>VLOOKUP(D124,Productos!$B$6:$C$35,2,FALSE)</f>
        <v>ROUTER WIFI BASICO</v>
      </c>
      <c r="F124" s="13" t="str">
        <f>VLOOKUP(D124,Productos!$B$6:$D$35,3,FALSE)</f>
        <v>REDES</v>
      </c>
      <c r="G124" s="13">
        <v>3</v>
      </c>
      <c r="H124" s="25">
        <f>VLOOKUP(D124,Productos!$B$6:$E$35,4,FALSE)</f>
        <v>123000</v>
      </c>
      <c r="I124" s="25">
        <f t="shared" si="1"/>
        <v>369000</v>
      </c>
      <c r="J124" s="26" t="s">
        <v>202</v>
      </c>
      <c r="L124" s="2"/>
    </row>
    <row r="125" spans="2:12" x14ac:dyDescent="0.25">
      <c r="B125" s="21">
        <v>46392</v>
      </c>
      <c r="C125" s="10" t="s">
        <v>169</v>
      </c>
      <c r="D125" s="10">
        <v>24</v>
      </c>
      <c r="E125" s="10" t="str">
        <f>VLOOKUP(D125,Productos!$B$6:$C$35,2,FALSE)</f>
        <v xml:space="preserve">HUB USB 4 PUERTOS </v>
      </c>
      <c r="F125" s="10" t="str">
        <f>VLOOKUP(D125,Productos!$B$6:$D$35,3,FALSE)</f>
        <v>ACCESORIOS</v>
      </c>
      <c r="G125" s="10">
        <v>5</v>
      </c>
      <c r="H125" s="22">
        <f>VLOOKUP(D125,Productos!$B$6:$E$35,4,FALSE)</f>
        <v>55000</v>
      </c>
      <c r="I125" s="22">
        <f t="shared" si="1"/>
        <v>275000</v>
      </c>
      <c r="J125" s="23" t="s">
        <v>201</v>
      </c>
      <c r="L125" s="2"/>
    </row>
    <row r="126" spans="2:12" x14ac:dyDescent="0.25">
      <c r="B126" s="24">
        <v>46394</v>
      </c>
      <c r="C126" s="13" t="s">
        <v>170</v>
      </c>
      <c r="D126" s="13">
        <v>2</v>
      </c>
      <c r="E126" s="13" t="str">
        <f>VLOOKUP(D126,Productos!$B$6:$C$35,2,FALSE)</f>
        <v>MOUSE GAMER</v>
      </c>
      <c r="F126" s="13" t="str">
        <f>VLOOKUP(D126,Productos!$B$6:$D$35,3,FALSE)</f>
        <v>ACCESORIOS PC</v>
      </c>
      <c r="G126" s="13">
        <v>4</v>
      </c>
      <c r="H126" s="25">
        <f>VLOOKUP(D126,Productos!$B$6:$E$35,4,FALSE)</f>
        <v>90000</v>
      </c>
      <c r="I126" s="25">
        <f t="shared" si="1"/>
        <v>360000</v>
      </c>
      <c r="J126" s="26" t="s">
        <v>204</v>
      </c>
      <c r="L126" s="2"/>
    </row>
    <row r="127" spans="2:12" x14ac:dyDescent="0.25">
      <c r="B127" s="21">
        <v>46396</v>
      </c>
      <c r="C127" s="10" t="s">
        <v>171</v>
      </c>
      <c r="D127" s="10">
        <v>4</v>
      </c>
      <c r="E127" s="10" t="str">
        <f>VLOOKUP(D127,Productos!$B$6:$C$35,2,FALSE)</f>
        <v>TECLADO MECANICO</v>
      </c>
      <c r="F127" s="10" t="str">
        <f>VLOOKUP(D127,Productos!$B$6:$D$35,3,FALSE)</f>
        <v>ACCESORIOS PC</v>
      </c>
      <c r="G127" s="10">
        <v>1</v>
      </c>
      <c r="H127" s="22">
        <f>VLOOKUP(D127,Productos!$B$6:$E$35,4,FALSE)</f>
        <v>220000</v>
      </c>
      <c r="I127" s="22">
        <f t="shared" si="1"/>
        <v>220000</v>
      </c>
      <c r="J127" s="23" t="s">
        <v>202</v>
      </c>
      <c r="L127" s="2"/>
    </row>
    <row r="128" spans="2:12" x14ac:dyDescent="0.25">
      <c r="B128" s="24">
        <v>46396</v>
      </c>
      <c r="C128" s="13" t="s">
        <v>172</v>
      </c>
      <c r="D128" s="13">
        <v>28</v>
      </c>
      <c r="E128" s="13" t="str">
        <f>VLOOKUP(D128,Productos!$B$6:$C$35,2,FALSE)</f>
        <v>SOPORTE PARA CELULAR</v>
      </c>
      <c r="F128" s="13" t="str">
        <f>VLOOKUP(D128,Productos!$B$6:$D$35,3,FALSE)</f>
        <v>ACCESORIOS MOVIL</v>
      </c>
      <c r="G128" s="13">
        <v>2</v>
      </c>
      <c r="H128" s="25">
        <f>VLOOKUP(D128,Productos!$B$6:$E$35,4,FALSE)</f>
        <v>25000</v>
      </c>
      <c r="I128" s="25">
        <f t="shared" si="1"/>
        <v>50000</v>
      </c>
      <c r="J128" s="26" t="s">
        <v>204</v>
      </c>
      <c r="L128" s="2"/>
    </row>
    <row r="129" spans="2:12" x14ac:dyDescent="0.25">
      <c r="B129" s="21">
        <v>46396</v>
      </c>
      <c r="C129" s="10" t="s">
        <v>173</v>
      </c>
      <c r="D129" s="10">
        <v>25</v>
      </c>
      <c r="E129" s="10" t="str">
        <f>VLOOKUP(D129,Productos!$B$6:$C$35,2,FALSE)</f>
        <v>PROTECTOR DE VOLTAJE</v>
      </c>
      <c r="F129" s="10" t="str">
        <f>VLOOKUP(D129,Productos!$B$6:$D$35,3,FALSE)</f>
        <v>ENERGIA</v>
      </c>
      <c r="G129" s="10">
        <v>3</v>
      </c>
      <c r="H129" s="22">
        <f>VLOOKUP(D129,Productos!$B$6:$E$35,4,FALSE)</f>
        <v>80000</v>
      </c>
      <c r="I129" s="22">
        <f t="shared" si="1"/>
        <v>240000</v>
      </c>
      <c r="J129" s="23" t="s">
        <v>203</v>
      </c>
      <c r="L129" s="2"/>
    </row>
    <row r="130" spans="2:12" x14ac:dyDescent="0.25">
      <c r="B130" s="24">
        <v>46397</v>
      </c>
      <c r="C130" s="13" t="s">
        <v>174</v>
      </c>
      <c r="D130" s="13">
        <v>7</v>
      </c>
      <c r="E130" s="13" t="str">
        <f>VLOOKUP(D130,Productos!$B$6:$C$35,2,FALSE)</f>
        <v>DIADEMA GAMER</v>
      </c>
      <c r="F130" s="13" t="str">
        <f>VLOOKUP(D130,Productos!$B$6:$D$35,3,FALSE)</f>
        <v>AUDIO</v>
      </c>
      <c r="G130" s="13">
        <v>4</v>
      </c>
      <c r="H130" s="25">
        <f>VLOOKUP(D130,Productos!$B$6:$E$35,4,FALSE)</f>
        <v>180000</v>
      </c>
      <c r="I130" s="25">
        <f t="shared" si="1"/>
        <v>720000</v>
      </c>
      <c r="J130" s="26" t="s">
        <v>203</v>
      </c>
      <c r="L130" s="2"/>
    </row>
    <row r="131" spans="2:12" x14ac:dyDescent="0.25">
      <c r="B131" s="21">
        <v>46399</v>
      </c>
      <c r="C131" s="10" t="s">
        <v>175</v>
      </c>
      <c r="D131" s="10">
        <v>25</v>
      </c>
      <c r="E131" s="10" t="str">
        <f>VLOOKUP(D131,Productos!$B$6:$C$35,2,FALSE)</f>
        <v>PROTECTOR DE VOLTAJE</v>
      </c>
      <c r="F131" s="10" t="str">
        <f>VLOOKUP(D131,Productos!$B$6:$D$35,3,FALSE)</f>
        <v>ENERGIA</v>
      </c>
      <c r="G131" s="10">
        <v>4</v>
      </c>
      <c r="H131" s="22">
        <f>VLOOKUP(D131,Productos!$B$6:$E$35,4,FALSE)</f>
        <v>80000</v>
      </c>
      <c r="I131" s="22">
        <f t="shared" si="1"/>
        <v>320000</v>
      </c>
      <c r="J131" s="23" t="s">
        <v>204</v>
      </c>
      <c r="L131" s="2"/>
    </row>
    <row r="132" spans="2:12" x14ac:dyDescent="0.25">
      <c r="B132" s="24">
        <v>46400</v>
      </c>
      <c r="C132" s="13" t="s">
        <v>176</v>
      </c>
      <c r="D132" s="13">
        <v>18</v>
      </c>
      <c r="E132" s="13" t="str">
        <f>VLOOKUP(D132,Productos!$B$6:$C$35,2,FALSE)</f>
        <v>CARGADOR RAPIDO USB-C</v>
      </c>
      <c r="F132" s="13" t="str">
        <f>VLOOKUP(D132,Productos!$B$6:$D$35,3,FALSE)</f>
        <v>ENERGIA</v>
      </c>
      <c r="G132" s="13">
        <v>2</v>
      </c>
      <c r="H132" s="25">
        <f>VLOOKUP(D132,Productos!$B$6:$E$35,4,FALSE)</f>
        <v>65000</v>
      </c>
      <c r="I132" s="25">
        <f t="shared" si="1"/>
        <v>130000</v>
      </c>
      <c r="J132" s="26" t="s">
        <v>202</v>
      </c>
      <c r="L132" s="2"/>
    </row>
    <row r="133" spans="2:12" x14ac:dyDescent="0.25">
      <c r="B133" s="21">
        <v>46402</v>
      </c>
      <c r="C133" s="10" t="s">
        <v>177</v>
      </c>
      <c r="D133" s="10">
        <v>12</v>
      </c>
      <c r="E133" s="10" t="str">
        <f>VLOOKUP(D133,Productos!$B$6:$C$35,2,FALSE)</f>
        <v>DISCO SSD 1TB</v>
      </c>
      <c r="F133" s="10" t="str">
        <f>VLOOKUP(D133,Productos!$B$6:$D$35,3,FALSE)</f>
        <v>ALMACENAMIENTO</v>
      </c>
      <c r="G133" s="10">
        <v>5</v>
      </c>
      <c r="H133" s="22">
        <f>VLOOKUP(D133,Productos!$B$6:$E$35,4,FALSE)</f>
        <v>230000</v>
      </c>
      <c r="I133" s="22">
        <f t="shared" si="1"/>
        <v>1150000</v>
      </c>
      <c r="J133" s="23" t="s">
        <v>203</v>
      </c>
      <c r="L133" s="2"/>
    </row>
    <row r="134" spans="2:12" x14ac:dyDescent="0.25">
      <c r="B134" s="24">
        <v>46404</v>
      </c>
      <c r="C134" s="13" t="s">
        <v>178</v>
      </c>
      <c r="D134" s="13">
        <v>5</v>
      </c>
      <c r="E134" s="13" t="str">
        <f>VLOOKUP(D134,Productos!$B$6:$C$35,2,FALSE)</f>
        <v>AUDIFONOS ALAMBRICOS</v>
      </c>
      <c r="F134" s="13" t="str">
        <f>VLOOKUP(D134,Productos!$B$6:$D$35,3,FALSE)</f>
        <v>AUDIO</v>
      </c>
      <c r="G134" s="13">
        <v>1</v>
      </c>
      <c r="H134" s="25">
        <f>VLOOKUP(D134,Productos!$B$6:$E$35,4,FALSE)</f>
        <v>35000</v>
      </c>
      <c r="I134" s="25">
        <f t="shared" si="1"/>
        <v>35000</v>
      </c>
      <c r="J134" s="26" t="s">
        <v>201</v>
      </c>
      <c r="L134" s="2"/>
    </row>
    <row r="135" spans="2:12" x14ac:dyDescent="0.25">
      <c r="B135" s="21">
        <v>46405</v>
      </c>
      <c r="C135" s="10" t="s">
        <v>179</v>
      </c>
      <c r="D135" s="10">
        <v>11</v>
      </c>
      <c r="E135" s="10" t="str">
        <f>VLOOKUP(D135,Productos!$B$6:$C$35,2,FALSE)</f>
        <v>DISCO SSD 480GB</v>
      </c>
      <c r="F135" s="10" t="str">
        <f>VLOOKUP(D135,Productos!$B$6:$D$35,3,FALSE)</f>
        <v>ALMACENAMIENTO</v>
      </c>
      <c r="G135" s="10">
        <v>1</v>
      </c>
      <c r="H135" s="22">
        <f>VLOOKUP(D135,Productos!$B$6:$E$35,4,FALSE)</f>
        <v>210000</v>
      </c>
      <c r="I135" s="22">
        <f t="shared" ref="I135:I156" si="2">H135*G135</f>
        <v>210000</v>
      </c>
      <c r="J135" s="23" t="s">
        <v>204</v>
      </c>
      <c r="L135" s="2"/>
    </row>
    <row r="136" spans="2:12" x14ac:dyDescent="0.25">
      <c r="B136" s="24">
        <v>46407</v>
      </c>
      <c r="C136" s="13" t="s">
        <v>180</v>
      </c>
      <c r="D136" s="13">
        <v>19</v>
      </c>
      <c r="E136" s="13" t="str">
        <f>VLOOKUP(D136,Productos!$B$6:$C$35,2,FALSE)</f>
        <v>BASE ENFRIADORA LAPTOP</v>
      </c>
      <c r="F136" s="13" t="str">
        <f>VLOOKUP(D136,Productos!$B$6:$D$35,3,FALSE)</f>
        <v>ACCESORIOS PC</v>
      </c>
      <c r="G136" s="13">
        <v>3</v>
      </c>
      <c r="H136" s="25">
        <f>VLOOKUP(D136,Productos!$B$6:$E$35,4,FALSE)</f>
        <v>85000</v>
      </c>
      <c r="I136" s="25">
        <f t="shared" si="2"/>
        <v>255000</v>
      </c>
      <c r="J136" s="26" t="s">
        <v>204</v>
      </c>
      <c r="L136" s="2"/>
    </row>
    <row r="137" spans="2:12" x14ac:dyDescent="0.25">
      <c r="B137" s="21">
        <v>46408</v>
      </c>
      <c r="C137" s="10" t="s">
        <v>181</v>
      </c>
      <c r="D137" s="10">
        <v>21</v>
      </c>
      <c r="E137" s="10" t="str">
        <f>VLOOKUP(D137,Productos!$B$6:$C$35,2,FALSE)</f>
        <v>MONITOR 22'</v>
      </c>
      <c r="F137" s="10" t="str">
        <f>VLOOKUP(D137,Productos!$B$6:$D$35,3,FALSE)</f>
        <v>MONITORES</v>
      </c>
      <c r="G137" s="10">
        <v>4</v>
      </c>
      <c r="H137" s="22">
        <f>VLOOKUP(D137,Productos!$B$6:$E$35,4,FALSE)</f>
        <v>520000</v>
      </c>
      <c r="I137" s="22">
        <f t="shared" si="2"/>
        <v>2080000</v>
      </c>
      <c r="J137" s="23" t="s">
        <v>204</v>
      </c>
      <c r="L137" s="2"/>
    </row>
    <row r="138" spans="2:12" x14ac:dyDescent="0.25">
      <c r="B138" s="24">
        <v>46409</v>
      </c>
      <c r="C138" s="13" t="s">
        <v>182</v>
      </c>
      <c r="D138" s="13">
        <v>2</v>
      </c>
      <c r="E138" s="13" t="str">
        <f>VLOOKUP(D138,Productos!$B$6:$C$35,2,FALSE)</f>
        <v>MOUSE GAMER</v>
      </c>
      <c r="F138" s="13" t="str">
        <f>VLOOKUP(D138,Productos!$B$6:$D$35,3,FALSE)</f>
        <v>ACCESORIOS PC</v>
      </c>
      <c r="G138" s="13">
        <v>4</v>
      </c>
      <c r="H138" s="25">
        <f>VLOOKUP(D138,Productos!$B$6:$E$35,4,FALSE)</f>
        <v>90000</v>
      </c>
      <c r="I138" s="25">
        <f t="shared" si="2"/>
        <v>360000</v>
      </c>
      <c r="J138" s="26" t="s">
        <v>202</v>
      </c>
      <c r="L138" s="2"/>
    </row>
    <row r="139" spans="2:12" x14ac:dyDescent="0.25">
      <c r="B139" s="21">
        <v>46409</v>
      </c>
      <c r="C139" s="10" t="s">
        <v>183</v>
      </c>
      <c r="D139" s="10">
        <v>28</v>
      </c>
      <c r="E139" s="10" t="str">
        <f>VLOOKUP(D139,Productos!$B$6:$C$35,2,FALSE)</f>
        <v>SOPORTE PARA CELULAR</v>
      </c>
      <c r="F139" s="10" t="str">
        <f>VLOOKUP(D139,Productos!$B$6:$D$35,3,FALSE)</f>
        <v>ACCESORIOS MOVIL</v>
      </c>
      <c r="G139" s="10">
        <v>2</v>
      </c>
      <c r="H139" s="22">
        <f>VLOOKUP(D139,Productos!$B$6:$E$35,4,FALSE)</f>
        <v>25000</v>
      </c>
      <c r="I139" s="22">
        <f t="shared" si="2"/>
        <v>50000</v>
      </c>
      <c r="J139" s="23" t="s">
        <v>203</v>
      </c>
      <c r="L139" s="2"/>
    </row>
    <row r="140" spans="2:12" x14ac:dyDescent="0.25">
      <c r="B140" s="24">
        <v>46410</v>
      </c>
      <c r="C140" s="13" t="s">
        <v>184</v>
      </c>
      <c r="D140" s="13">
        <v>22</v>
      </c>
      <c r="E140" s="13" t="str">
        <f>VLOOKUP(D140,Productos!$B$6:$C$35,2,FALSE)</f>
        <v>IMPRESORA BASICA</v>
      </c>
      <c r="F140" s="13" t="str">
        <f>VLOOKUP(D140,Productos!$B$6:$D$35,3,FALSE)</f>
        <v>HOGAR/OFICINA</v>
      </c>
      <c r="G140" s="13">
        <v>3</v>
      </c>
      <c r="H140" s="25">
        <f>VLOOKUP(D140,Productos!$B$6:$E$35,4,FALSE)</f>
        <v>480000</v>
      </c>
      <c r="I140" s="25">
        <f t="shared" si="2"/>
        <v>1440000</v>
      </c>
      <c r="J140" s="26" t="s">
        <v>204</v>
      </c>
      <c r="L140" s="2"/>
    </row>
    <row r="141" spans="2:12" x14ac:dyDescent="0.25">
      <c r="B141" s="21">
        <v>46411</v>
      </c>
      <c r="C141" s="10" t="s">
        <v>185</v>
      </c>
      <c r="D141" s="10">
        <v>16</v>
      </c>
      <c r="E141" s="10" t="str">
        <f>VLOOKUP(D141,Productos!$B$6:$C$35,2,FALSE)</f>
        <v>POWER BANK 10000MAH</v>
      </c>
      <c r="F141" s="10" t="str">
        <f>VLOOKUP(D141,Productos!$B$6:$D$35,3,FALSE)</f>
        <v>ENERGIA</v>
      </c>
      <c r="G141" s="10">
        <v>2</v>
      </c>
      <c r="H141" s="22">
        <f>VLOOKUP(D141,Productos!$B$6:$E$35,4,FALSE)</f>
        <v>90000</v>
      </c>
      <c r="I141" s="22">
        <f t="shared" si="2"/>
        <v>180000</v>
      </c>
      <c r="J141" s="23" t="s">
        <v>204</v>
      </c>
      <c r="L141" s="2"/>
    </row>
    <row r="142" spans="2:12" x14ac:dyDescent="0.25">
      <c r="B142" s="24">
        <v>46413</v>
      </c>
      <c r="C142" s="13" t="s">
        <v>186</v>
      </c>
      <c r="D142" s="13">
        <v>19</v>
      </c>
      <c r="E142" s="13" t="str">
        <f>VLOOKUP(D142,Productos!$B$6:$C$35,2,FALSE)</f>
        <v>BASE ENFRIADORA LAPTOP</v>
      </c>
      <c r="F142" s="13" t="str">
        <f>VLOOKUP(D142,Productos!$B$6:$D$35,3,FALSE)</f>
        <v>ACCESORIOS PC</v>
      </c>
      <c r="G142" s="13">
        <v>5</v>
      </c>
      <c r="H142" s="25">
        <f>VLOOKUP(D142,Productos!$B$6:$E$35,4,FALSE)</f>
        <v>85000</v>
      </c>
      <c r="I142" s="25">
        <f t="shared" si="2"/>
        <v>425000</v>
      </c>
      <c r="J142" s="26" t="s">
        <v>201</v>
      </c>
      <c r="L142" s="2"/>
    </row>
    <row r="143" spans="2:12" x14ac:dyDescent="0.25">
      <c r="B143" s="21">
        <v>46415</v>
      </c>
      <c r="C143" s="10" t="s">
        <v>187</v>
      </c>
      <c r="D143" s="10">
        <v>12</v>
      </c>
      <c r="E143" s="10" t="str">
        <f>VLOOKUP(D143,Productos!$B$6:$C$35,2,FALSE)</f>
        <v>DISCO SSD 1TB</v>
      </c>
      <c r="F143" s="10" t="str">
        <f>VLOOKUP(D143,Productos!$B$6:$D$35,3,FALSE)</f>
        <v>ALMACENAMIENTO</v>
      </c>
      <c r="G143" s="10">
        <v>2</v>
      </c>
      <c r="H143" s="22">
        <f>VLOOKUP(D143,Productos!$B$6:$E$35,4,FALSE)</f>
        <v>230000</v>
      </c>
      <c r="I143" s="22">
        <f t="shared" si="2"/>
        <v>460000</v>
      </c>
      <c r="J143" s="23" t="s">
        <v>202</v>
      </c>
      <c r="L143" s="2"/>
    </row>
    <row r="144" spans="2:12" x14ac:dyDescent="0.25">
      <c r="B144" s="24">
        <v>46415</v>
      </c>
      <c r="C144" s="13" t="s">
        <v>188</v>
      </c>
      <c r="D144" s="13">
        <v>8</v>
      </c>
      <c r="E144" s="13" t="str">
        <f>VLOOKUP(D144,Productos!$B$6:$C$35,2,FALSE)</f>
        <v>PARLANTE BLUETOOTH</v>
      </c>
      <c r="F144" s="13" t="str">
        <f>VLOOKUP(D144,Productos!$B$6:$D$35,3,FALSE)</f>
        <v>AUDIO</v>
      </c>
      <c r="G144" s="13">
        <v>3</v>
      </c>
      <c r="H144" s="25">
        <f>VLOOKUP(D144,Productos!$B$6:$E$35,4,FALSE)</f>
        <v>160000</v>
      </c>
      <c r="I144" s="25">
        <f t="shared" si="2"/>
        <v>480000</v>
      </c>
      <c r="J144" s="26" t="s">
        <v>202</v>
      </c>
      <c r="L144" s="2"/>
    </row>
    <row r="145" spans="2:12" x14ac:dyDescent="0.25">
      <c r="B145" s="21">
        <v>46417</v>
      </c>
      <c r="C145" s="10" t="s">
        <v>189</v>
      </c>
      <c r="D145" s="10">
        <v>28</v>
      </c>
      <c r="E145" s="10" t="str">
        <f>VLOOKUP(D145,Productos!$B$6:$C$35,2,FALSE)</f>
        <v>SOPORTE PARA CELULAR</v>
      </c>
      <c r="F145" s="10" t="str">
        <f>VLOOKUP(D145,Productos!$B$6:$D$35,3,FALSE)</f>
        <v>ACCESORIOS MOVIL</v>
      </c>
      <c r="G145" s="10">
        <v>4</v>
      </c>
      <c r="H145" s="22">
        <f>VLOOKUP(D145,Productos!$B$6:$E$35,4,FALSE)</f>
        <v>25000</v>
      </c>
      <c r="I145" s="22">
        <f t="shared" si="2"/>
        <v>100000</v>
      </c>
      <c r="J145" s="23" t="s">
        <v>203</v>
      </c>
      <c r="L145" s="2"/>
    </row>
    <row r="146" spans="2:12" x14ac:dyDescent="0.25">
      <c r="B146" s="24">
        <v>46419</v>
      </c>
      <c r="C146" s="13" t="s">
        <v>190</v>
      </c>
      <c r="D146" s="13">
        <v>29</v>
      </c>
      <c r="E146" s="13" t="str">
        <f>VLOOKUP(D146,Productos!$B$6:$C$35,2,FALSE)</f>
        <v>FUNDA PARA CELULAR</v>
      </c>
      <c r="F146" s="13" t="str">
        <f>VLOOKUP(D146,Productos!$B$6:$D$35,3,FALSE)</f>
        <v>ACCESORIOS MOVIL</v>
      </c>
      <c r="G146" s="13">
        <v>1</v>
      </c>
      <c r="H146" s="25">
        <f>VLOOKUP(D146,Productos!$B$6:$E$35,4,FALSE)</f>
        <v>30000</v>
      </c>
      <c r="I146" s="25">
        <f t="shared" si="2"/>
        <v>30000</v>
      </c>
      <c r="J146" s="26" t="s">
        <v>202</v>
      </c>
      <c r="L146" s="2"/>
    </row>
    <row r="147" spans="2:12" x14ac:dyDescent="0.25">
      <c r="B147" s="21">
        <v>46420</v>
      </c>
      <c r="C147" s="10" t="s">
        <v>191</v>
      </c>
      <c r="D147" s="10">
        <v>6</v>
      </c>
      <c r="E147" s="10" t="str">
        <f>VLOOKUP(D147,Productos!$B$6:$C$35,2,FALSE)</f>
        <v>AUDIFONOS BLUETOOTH</v>
      </c>
      <c r="F147" s="10" t="str">
        <f>VLOOKUP(D147,Productos!$B$6:$D$35,3,FALSE)</f>
        <v>AUDIO</v>
      </c>
      <c r="G147" s="10">
        <v>5</v>
      </c>
      <c r="H147" s="22">
        <f>VLOOKUP(D147,Productos!$B$6:$E$35,4,FALSE)</f>
        <v>120000</v>
      </c>
      <c r="I147" s="22">
        <f t="shared" si="2"/>
        <v>600000</v>
      </c>
      <c r="J147" s="23" t="s">
        <v>201</v>
      </c>
      <c r="L147" s="2"/>
    </row>
    <row r="148" spans="2:12" x14ac:dyDescent="0.25">
      <c r="B148" s="24">
        <v>46420</v>
      </c>
      <c r="C148" s="13" t="s">
        <v>192</v>
      </c>
      <c r="D148" s="13">
        <v>22</v>
      </c>
      <c r="E148" s="13" t="str">
        <f>VLOOKUP(D148,Productos!$B$6:$C$35,2,FALSE)</f>
        <v>IMPRESORA BASICA</v>
      </c>
      <c r="F148" s="13" t="str">
        <f>VLOOKUP(D148,Productos!$B$6:$D$35,3,FALSE)</f>
        <v>HOGAR/OFICINA</v>
      </c>
      <c r="G148" s="13">
        <v>3</v>
      </c>
      <c r="H148" s="25">
        <f>VLOOKUP(D148,Productos!$B$6:$E$35,4,FALSE)</f>
        <v>480000</v>
      </c>
      <c r="I148" s="25">
        <f t="shared" si="2"/>
        <v>1440000</v>
      </c>
      <c r="J148" s="26" t="s">
        <v>203</v>
      </c>
      <c r="L148" s="2"/>
    </row>
    <row r="149" spans="2:12" x14ac:dyDescent="0.25">
      <c r="B149" s="21">
        <v>46422</v>
      </c>
      <c r="C149" s="10" t="s">
        <v>193</v>
      </c>
      <c r="D149" s="10">
        <v>2</v>
      </c>
      <c r="E149" s="10" t="str">
        <f>VLOOKUP(D149,Productos!$B$6:$C$35,2,FALSE)</f>
        <v>MOUSE GAMER</v>
      </c>
      <c r="F149" s="10" t="str">
        <f>VLOOKUP(D149,Productos!$B$6:$D$35,3,FALSE)</f>
        <v>ACCESORIOS PC</v>
      </c>
      <c r="G149" s="10">
        <v>5</v>
      </c>
      <c r="H149" s="22">
        <f>VLOOKUP(D149,Productos!$B$6:$E$35,4,FALSE)</f>
        <v>90000</v>
      </c>
      <c r="I149" s="22">
        <f t="shared" si="2"/>
        <v>450000</v>
      </c>
      <c r="J149" s="23" t="s">
        <v>201</v>
      </c>
      <c r="L149" s="2"/>
    </row>
    <row r="150" spans="2:12" x14ac:dyDescent="0.25">
      <c r="B150" s="24">
        <v>46424</v>
      </c>
      <c r="C150" s="13" t="s">
        <v>194</v>
      </c>
      <c r="D150" s="13">
        <v>12</v>
      </c>
      <c r="E150" s="13" t="str">
        <f>VLOOKUP(D150,Productos!$B$6:$C$35,2,FALSE)</f>
        <v>DISCO SSD 1TB</v>
      </c>
      <c r="F150" s="13" t="str">
        <f>VLOOKUP(D150,Productos!$B$6:$D$35,3,FALSE)</f>
        <v>ALMACENAMIENTO</v>
      </c>
      <c r="G150" s="13">
        <v>2</v>
      </c>
      <c r="H150" s="25">
        <f>VLOOKUP(D150,Productos!$B$6:$E$35,4,FALSE)</f>
        <v>230000</v>
      </c>
      <c r="I150" s="25">
        <f t="shared" si="2"/>
        <v>460000</v>
      </c>
      <c r="J150" s="26" t="s">
        <v>201</v>
      </c>
      <c r="L150" s="2"/>
    </row>
    <row r="151" spans="2:12" x14ac:dyDescent="0.25">
      <c r="B151" s="21">
        <v>46424</v>
      </c>
      <c r="C151" s="10" t="s">
        <v>195</v>
      </c>
      <c r="D151" s="10">
        <v>28</v>
      </c>
      <c r="E151" s="10" t="str">
        <f>VLOOKUP(D151,Productos!$B$6:$C$35,2,FALSE)</f>
        <v>SOPORTE PARA CELULAR</v>
      </c>
      <c r="F151" s="10" t="str">
        <f>VLOOKUP(D151,Productos!$B$6:$D$35,3,FALSE)</f>
        <v>ACCESORIOS MOVIL</v>
      </c>
      <c r="G151" s="10">
        <v>4</v>
      </c>
      <c r="H151" s="22">
        <f>VLOOKUP(D151,Productos!$B$6:$E$35,4,FALSE)</f>
        <v>25000</v>
      </c>
      <c r="I151" s="22">
        <f t="shared" si="2"/>
        <v>100000</v>
      </c>
      <c r="J151" s="23" t="s">
        <v>203</v>
      </c>
      <c r="L151" s="2"/>
    </row>
    <row r="152" spans="2:12" x14ac:dyDescent="0.25">
      <c r="B152" s="24">
        <v>46425</v>
      </c>
      <c r="C152" s="13" t="s">
        <v>196</v>
      </c>
      <c r="D152" s="13">
        <v>1</v>
      </c>
      <c r="E152" s="13" t="str">
        <f>VLOOKUP(D152,Productos!$B$6:$C$35,2,FALSE)</f>
        <v>MOUSE INALAMBRICO</v>
      </c>
      <c r="F152" s="13" t="str">
        <f>VLOOKUP(D152,Productos!$B$6:$D$35,3,FALSE)</f>
        <v>ACCESORIOS PC</v>
      </c>
      <c r="G152" s="13">
        <v>1</v>
      </c>
      <c r="H152" s="25">
        <f>VLOOKUP(D152,Productos!$B$6:$E$35,4,FALSE)</f>
        <v>45000</v>
      </c>
      <c r="I152" s="25">
        <f t="shared" si="2"/>
        <v>45000</v>
      </c>
      <c r="J152" s="26" t="s">
        <v>201</v>
      </c>
      <c r="L152" s="2"/>
    </row>
    <row r="153" spans="2:12" x14ac:dyDescent="0.25">
      <c r="B153" s="21">
        <v>46426</v>
      </c>
      <c r="C153" s="10" t="s">
        <v>197</v>
      </c>
      <c r="D153" s="10">
        <v>7</v>
      </c>
      <c r="E153" s="10" t="str">
        <f>VLOOKUP(D153,Productos!$B$6:$C$35,2,FALSE)</f>
        <v>DIADEMA GAMER</v>
      </c>
      <c r="F153" s="10" t="str">
        <f>VLOOKUP(D153,Productos!$B$6:$D$35,3,FALSE)</f>
        <v>AUDIO</v>
      </c>
      <c r="G153" s="10">
        <v>3</v>
      </c>
      <c r="H153" s="22">
        <f>VLOOKUP(D153,Productos!$B$6:$E$35,4,FALSE)</f>
        <v>180000</v>
      </c>
      <c r="I153" s="22">
        <f t="shared" si="2"/>
        <v>540000</v>
      </c>
      <c r="J153" s="23" t="s">
        <v>202</v>
      </c>
      <c r="L153" s="2"/>
    </row>
    <row r="154" spans="2:12" x14ac:dyDescent="0.25">
      <c r="B154" s="24">
        <v>46428</v>
      </c>
      <c r="C154" s="13" t="s">
        <v>198</v>
      </c>
      <c r="D154" s="13">
        <v>8</v>
      </c>
      <c r="E154" s="13" t="str">
        <f>VLOOKUP(D154,Productos!$B$6:$C$35,2,FALSE)</f>
        <v>PARLANTE BLUETOOTH</v>
      </c>
      <c r="F154" s="13" t="str">
        <f>VLOOKUP(D154,Productos!$B$6:$D$35,3,FALSE)</f>
        <v>AUDIO</v>
      </c>
      <c r="G154" s="13">
        <v>5</v>
      </c>
      <c r="H154" s="25">
        <f>VLOOKUP(D154,Productos!$B$6:$E$35,4,FALSE)</f>
        <v>160000</v>
      </c>
      <c r="I154" s="25">
        <f t="shared" si="2"/>
        <v>800000</v>
      </c>
      <c r="J154" s="26" t="s">
        <v>202</v>
      </c>
      <c r="L154" s="2"/>
    </row>
    <row r="155" spans="2:12" x14ac:dyDescent="0.25">
      <c r="B155" s="21">
        <v>46429</v>
      </c>
      <c r="C155" s="10" t="s">
        <v>199</v>
      </c>
      <c r="D155" s="10">
        <v>11</v>
      </c>
      <c r="E155" s="10" t="str">
        <f>VLOOKUP(D155,Productos!$B$6:$C$35,2,FALSE)</f>
        <v>DISCO SSD 480GB</v>
      </c>
      <c r="F155" s="10" t="str">
        <f>VLOOKUP(D155,Productos!$B$6:$D$35,3,FALSE)</f>
        <v>ALMACENAMIENTO</v>
      </c>
      <c r="G155" s="10">
        <v>2</v>
      </c>
      <c r="H155" s="22">
        <f>VLOOKUP(D155,Productos!$B$6:$E$35,4,FALSE)</f>
        <v>210000</v>
      </c>
      <c r="I155" s="22">
        <f t="shared" si="2"/>
        <v>420000</v>
      </c>
      <c r="J155" s="23" t="s">
        <v>202</v>
      </c>
      <c r="L155" s="2"/>
    </row>
    <row r="156" spans="2:12" x14ac:dyDescent="0.25">
      <c r="B156" s="27">
        <v>46430</v>
      </c>
      <c r="C156" s="28" t="s">
        <v>200</v>
      </c>
      <c r="D156" s="28">
        <v>3</v>
      </c>
      <c r="E156" s="28" t="str">
        <f>VLOOKUP(D156,Productos!$B$6:$C$35,2,FALSE)</f>
        <v>TECLADO ALAMBRICO</v>
      </c>
      <c r="F156" s="28" t="str">
        <f>VLOOKUP(D156,Productos!$B$6:$D$35,3,FALSE)</f>
        <v>ACCESORIOS PC</v>
      </c>
      <c r="G156" s="28">
        <v>4</v>
      </c>
      <c r="H156" s="29">
        <f>VLOOKUP(D156,Productos!$B$6:$E$35,4,FALSE)</f>
        <v>60000</v>
      </c>
      <c r="I156" s="29">
        <f t="shared" si="2"/>
        <v>240000</v>
      </c>
      <c r="J156" s="1" t="s">
        <v>204</v>
      </c>
      <c r="L1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4C2A-30AC-4862-99DD-98F1E0FE32E5}">
  <dimension ref="B4:R59"/>
  <sheetViews>
    <sheetView tabSelected="1" topLeftCell="C13" zoomScaleNormal="100" workbookViewId="0">
      <selection activeCell="Q37" sqref="Q37"/>
    </sheetView>
  </sheetViews>
  <sheetFormatPr baseColWidth="10" defaultRowHeight="15" x14ac:dyDescent="0.25"/>
  <cols>
    <col min="2" max="2" width="24.42578125" bestFit="1" customWidth="1"/>
    <col min="3" max="3" width="31.28515625" bestFit="1" customWidth="1"/>
    <col min="17" max="17" width="26.140625" bestFit="1" customWidth="1"/>
    <col min="18" max="18" width="31.28515625" bestFit="1" customWidth="1"/>
  </cols>
  <sheetData>
    <row r="4" spans="2:3" x14ac:dyDescent="0.25">
      <c r="B4" s="30" t="s">
        <v>207</v>
      </c>
      <c r="C4" t="s">
        <v>209</v>
      </c>
    </row>
    <row r="5" spans="2:3" x14ac:dyDescent="0.25">
      <c r="B5" s="31" t="s">
        <v>33</v>
      </c>
      <c r="C5" s="33">
        <v>550000</v>
      </c>
    </row>
    <row r="6" spans="2:3" x14ac:dyDescent="0.25">
      <c r="B6" s="31" t="s">
        <v>44</v>
      </c>
      <c r="C6" s="33">
        <v>1450000</v>
      </c>
    </row>
    <row r="7" spans="2:3" x14ac:dyDescent="0.25">
      <c r="B7" s="31" t="s">
        <v>45</v>
      </c>
      <c r="C7" s="33">
        <v>5705000</v>
      </c>
    </row>
    <row r="8" spans="2:3" x14ac:dyDescent="0.25">
      <c r="B8" s="31" t="s">
        <v>36</v>
      </c>
      <c r="C8" s="33">
        <v>8695000</v>
      </c>
    </row>
    <row r="9" spans="2:3" x14ac:dyDescent="0.25">
      <c r="B9" s="31" t="s">
        <v>34</v>
      </c>
      <c r="C9" s="33">
        <v>7620000</v>
      </c>
    </row>
    <row r="10" spans="2:3" x14ac:dyDescent="0.25">
      <c r="B10" s="31" t="s">
        <v>38</v>
      </c>
      <c r="C10" s="33">
        <v>630000</v>
      </c>
    </row>
    <row r="11" spans="2:3" x14ac:dyDescent="0.25">
      <c r="B11" s="31" t="s">
        <v>40</v>
      </c>
      <c r="C11" s="33">
        <v>240000</v>
      </c>
    </row>
    <row r="12" spans="2:3" x14ac:dyDescent="0.25">
      <c r="B12" s="31" t="s">
        <v>39</v>
      </c>
      <c r="C12" s="33">
        <v>4330000</v>
      </c>
    </row>
    <row r="13" spans="2:3" x14ac:dyDescent="0.25">
      <c r="B13" s="31" t="s">
        <v>42</v>
      </c>
      <c r="C13" s="33">
        <v>14520000</v>
      </c>
    </row>
    <row r="14" spans="2:3" x14ac:dyDescent="0.25">
      <c r="B14" s="31" t="s">
        <v>41</v>
      </c>
      <c r="C14" s="33">
        <v>5720000</v>
      </c>
    </row>
    <row r="15" spans="2:3" x14ac:dyDescent="0.25">
      <c r="B15" s="31" t="s">
        <v>37</v>
      </c>
      <c r="C15" s="33">
        <v>2811000</v>
      </c>
    </row>
    <row r="16" spans="2:3" x14ac:dyDescent="0.25">
      <c r="B16" s="31" t="s">
        <v>43</v>
      </c>
      <c r="C16" s="33">
        <v>5820000</v>
      </c>
    </row>
    <row r="17" spans="2:18" x14ac:dyDescent="0.25">
      <c r="B17" s="31" t="s">
        <v>208</v>
      </c>
      <c r="C17" s="33">
        <v>58091000</v>
      </c>
    </row>
    <row r="25" spans="2:18" x14ac:dyDescent="0.25">
      <c r="Q25" s="30" t="s">
        <v>207</v>
      </c>
      <c r="R25" t="s">
        <v>209</v>
      </c>
    </row>
    <row r="26" spans="2:18" x14ac:dyDescent="0.25">
      <c r="Q26" s="31" t="s">
        <v>203</v>
      </c>
      <c r="R26" s="32">
        <v>16984000</v>
      </c>
    </row>
    <row r="27" spans="2:18" x14ac:dyDescent="0.25">
      <c r="Q27" s="31" t="s">
        <v>201</v>
      </c>
      <c r="R27" s="32">
        <v>14105000</v>
      </c>
    </row>
    <row r="28" spans="2:18" x14ac:dyDescent="0.25">
      <c r="B28" s="30" t="s">
        <v>207</v>
      </c>
      <c r="C28" t="s">
        <v>209</v>
      </c>
      <c r="Q28" s="31" t="s">
        <v>202</v>
      </c>
      <c r="R28" s="32">
        <v>12574000</v>
      </c>
    </row>
    <row r="29" spans="2:18" x14ac:dyDescent="0.25">
      <c r="B29" s="31" t="s">
        <v>8</v>
      </c>
      <c r="C29" s="33">
        <v>840000</v>
      </c>
      <c r="Q29" s="31" t="s">
        <v>204</v>
      </c>
      <c r="R29" s="32">
        <v>14428000</v>
      </c>
    </row>
    <row r="30" spans="2:18" x14ac:dyDescent="0.25">
      <c r="B30" s="31" t="s">
        <v>10</v>
      </c>
      <c r="C30" s="33">
        <v>1200000</v>
      </c>
      <c r="Q30" s="31" t="s">
        <v>208</v>
      </c>
      <c r="R30" s="32">
        <v>58091000</v>
      </c>
    </row>
    <row r="31" spans="2:18" x14ac:dyDescent="0.25">
      <c r="B31" s="31" t="s">
        <v>29</v>
      </c>
      <c r="C31" s="33">
        <v>2040000</v>
      </c>
    </row>
    <row r="32" spans="2:18" x14ac:dyDescent="0.25">
      <c r="B32" s="31" t="s">
        <v>21</v>
      </c>
      <c r="C32" s="33">
        <v>1275000</v>
      </c>
    </row>
    <row r="33" spans="2:3" x14ac:dyDescent="0.25">
      <c r="B33" s="31" t="s">
        <v>16</v>
      </c>
      <c r="C33" s="33">
        <v>300000</v>
      </c>
    </row>
    <row r="34" spans="2:3" x14ac:dyDescent="0.25">
      <c r="B34" s="31" t="s">
        <v>17</v>
      </c>
      <c r="C34" s="33">
        <v>330000</v>
      </c>
    </row>
    <row r="35" spans="2:3" x14ac:dyDescent="0.25">
      <c r="B35" s="31" t="s">
        <v>20</v>
      </c>
      <c r="C35" s="33">
        <v>1170000</v>
      </c>
    </row>
    <row r="36" spans="2:3" x14ac:dyDescent="0.25">
      <c r="B36" s="31" t="s">
        <v>9</v>
      </c>
      <c r="C36" s="33">
        <v>2700000</v>
      </c>
    </row>
    <row r="37" spans="2:3" x14ac:dyDescent="0.25">
      <c r="B37" s="31" t="s">
        <v>14</v>
      </c>
      <c r="C37" s="33">
        <v>4370000</v>
      </c>
    </row>
    <row r="38" spans="2:3" x14ac:dyDescent="0.25">
      <c r="B38" s="31" t="s">
        <v>13</v>
      </c>
      <c r="C38" s="33">
        <v>3150000</v>
      </c>
    </row>
    <row r="39" spans="2:3" x14ac:dyDescent="0.25">
      <c r="B39" s="31" t="s">
        <v>19</v>
      </c>
      <c r="C39" s="33">
        <v>1950000</v>
      </c>
    </row>
    <row r="40" spans="2:3" x14ac:dyDescent="0.25">
      <c r="B40" s="31" t="s">
        <v>31</v>
      </c>
      <c r="C40" s="33">
        <v>570000</v>
      </c>
    </row>
    <row r="41" spans="2:3" x14ac:dyDescent="0.25">
      <c r="B41" s="31" t="s">
        <v>26</v>
      </c>
      <c r="C41" s="33">
        <v>550000</v>
      </c>
    </row>
    <row r="42" spans="2:3" x14ac:dyDescent="0.25">
      <c r="B42" s="31" t="s">
        <v>24</v>
      </c>
      <c r="C42" s="33">
        <v>13440000</v>
      </c>
    </row>
    <row r="43" spans="2:3" x14ac:dyDescent="0.25">
      <c r="B43" s="31" t="s">
        <v>11</v>
      </c>
      <c r="C43" s="33">
        <v>825000</v>
      </c>
    </row>
    <row r="44" spans="2:3" x14ac:dyDescent="0.25">
      <c r="B44" s="31" t="s">
        <v>12</v>
      </c>
      <c r="C44" s="33">
        <v>350000</v>
      </c>
    </row>
    <row r="45" spans="2:3" x14ac:dyDescent="0.25">
      <c r="B45" s="31" t="s">
        <v>23</v>
      </c>
      <c r="C45" s="33">
        <v>5720000</v>
      </c>
    </row>
    <row r="46" spans="2:3" x14ac:dyDescent="0.25">
      <c r="B46" s="31" t="s">
        <v>5</v>
      </c>
      <c r="C46" s="33">
        <v>2430000</v>
      </c>
    </row>
    <row r="47" spans="2:3" x14ac:dyDescent="0.25">
      <c r="B47" s="31" t="s">
        <v>4</v>
      </c>
      <c r="C47" s="33">
        <v>180000</v>
      </c>
    </row>
    <row r="48" spans="2:3" x14ac:dyDescent="0.25">
      <c r="B48" s="31" t="s">
        <v>35</v>
      </c>
      <c r="C48" s="33">
        <v>2880000</v>
      </c>
    </row>
    <row r="49" spans="2:3" x14ac:dyDescent="0.25">
      <c r="B49" s="31" t="s">
        <v>18</v>
      </c>
      <c r="C49" s="33">
        <v>1080000</v>
      </c>
    </row>
    <row r="50" spans="2:3" x14ac:dyDescent="0.25">
      <c r="B50" s="31" t="s">
        <v>27</v>
      </c>
      <c r="C50" s="33">
        <v>2080000</v>
      </c>
    </row>
    <row r="51" spans="2:3" x14ac:dyDescent="0.25">
      <c r="B51" s="31" t="s">
        <v>15</v>
      </c>
      <c r="C51" s="33">
        <v>861000</v>
      </c>
    </row>
    <row r="52" spans="2:3" x14ac:dyDescent="0.25">
      <c r="B52" s="31" t="s">
        <v>28</v>
      </c>
      <c r="C52" s="33">
        <v>3780000</v>
      </c>
    </row>
    <row r="53" spans="2:3" x14ac:dyDescent="0.25">
      <c r="B53" s="31" t="s">
        <v>30</v>
      </c>
      <c r="C53" s="33">
        <v>500000</v>
      </c>
    </row>
    <row r="54" spans="2:3" x14ac:dyDescent="0.25">
      <c r="B54" s="31" t="s">
        <v>6</v>
      </c>
      <c r="C54" s="33">
        <v>720000</v>
      </c>
    </row>
    <row r="55" spans="2:3" x14ac:dyDescent="0.25">
      <c r="B55" s="31" t="s">
        <v>7</v>
      </c>
      <c r="C55" s="33">
        <v>1100000</v>
      </c>
    </row>
    <row r="56" spans="2:3" x14ac:dyDescent="0.25">
      <c r="B56" s="31" t="s">
        <v>25</v>
      </c>
      <c r="C56" s="33">
        <v>1080000</v>
      </c>
    </row>
    <row r="57" spans="2:3" x14ac:dyDescent="0.25">
      <c r="B57" s="31" t="s">
        <v>32</v>
      </c>
      <c r="C57" s="33">
        <v>380000</v>
      </c>
    </row>
    <row r="58" spans="2:3" x14ac:dyDescent="0.25">
      <c r="B58" s="31" t="s">
        <v>22</v>
      </c>
      <c r="C58" s="33">
        <v>240000</v>
      </c>
    </row>
    <row r="59" spans="2:3" x14ac:dyDescent="0.25">
      <c r="B59" s="31" t="s">
        <v>208</v>
      </c>
      <c r="C59" s="33">
        <v>58091000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Ventas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Santiago Nino Cardona</dc:creator>
  <cp:lastModifiedBy>Nicolas Santiago Nino Cardona</cp:lastModifiedBy>
  <dcterms:created xsi:type="dcterms:W3CDTF">2026-09-04T21:07:48Z</dcterms:created>
  <dcterms:modified xsi:type="dcterms:W3CDTF">2026-09-05T00:11:24Z</dcterms:modified>
</cp:coreProperties>
</file>